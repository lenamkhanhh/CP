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Dashboard" sheetId="1" r:id="rId1"/>
    <sheet name="Weekly Plan" sheetId="2" r:id="rId2"/>
    <sheet name="Task Bank" sheetId="3" r:id="rId3"/>
    <sheet name="Topic Gates" sheetId="4" r:id="rId4"/>
    <sheet name="Virtual Log" sheetId="5" r:id="rId5"/>
    <sheet name="Weekly Rhythm" sheetId="6" r:id="rId6"/>
    <sheet name="Sources" sheetId="7" r:id="rId7"/>
    <sheet name="Lists" sheetId="8" state="hidden" r:id="rId8"/>
  </sheets>
  <definedNames>
    <definedName name="TaskStatusList">Lists!$A$2:$A$8</definedName>
    <definedName name="WeekStatusList">Lists!$B$2:$B$6</definedName>
    <definedName name="FailureTagList">Lists!$C$2:$C$7</definedName>
    <definedName name="VirtualStatusList">Lists!$D$2:$D$5</definedName>
    <definedName name="_xlnm.Print_Area" localSheetId="0">Dashboard!$A$1:$J$27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<sst xmlns="http://schemas.openxmlformats.org/spreadsheetml/2006/main" count="2090" uniqueCount="804">
  <si>
    <t>ICPC 2026-2027 TRAINING CONTROL BOARD</t>
  </si>
  <si>
    <t>From 21/06/2026 to APAC preparation cutoff 28/02/2027 | Default load: 12-15h/week</t>
  </si>
  <si>
    <t>MILESTONE</t>
  </si>
  <si>
    <t>DATE</t>
  </si>
  <si>
    <t>DAYS LEFT</t>
  </si>
  <si>
    <t>TRAINING TARGET</t>
  </si>
  <si>
    <t>STATUS</t>
  </si>
  <si>
    <t>KPI</t>
  </si>
  <si>
    <t>VALUE</t>
  </si>
  <si>
    <t>ICPC Southern</t>
  </si>
  <si>
    <t>5-7 solves; no easy miss</t>
  </si>
  <si>
    <t>Upcoming</t>
  </si>
  <si>
    <t>Task AC</t>
  </si>
  <si>
    <t>ICPC National</t>
  </si>
  <si>
    <t>Owner roles + stable B/C</t>
  </si>
  <si>
    <t>Unique task entries</t>
  </si>
  <si>
    <t>Asia Regional Da Nang</t>
  </si>
  <si>
    <t>3 virtuals at 5+ solves</t>
  </si>
  <si>
    <t>Retry due</t>
  </si>
  <si>
    <t>APAC Tokyo</t>
  </si>
  <si>
    <t>5-7 solves on APAC old sets</t>
  </si>
  <si>
    <t>Month placeholder</t>
  </si>
  <si>
    <t>Virtuals done</t>
  </si>
  <si>
    <t>Average solved</t>
  </si>
  <si>
    <t>Actual hours</t>
  </si>
  <si>
    <t>TOPIC PROGRESS</t>
  </si>
  <si>
    <t>PRIORITY</t>
  </si>
  <si>
    <t>AC / TASKS</t>
  </si>
  <si>
    <t>PROGRESS</t>
  </si>
  <si>
    <t>HOW TO USE THIS FILE</t>
  </si>
  <si>
    <t>1. Open Weekly Plan and follow only the current week.
2. In Task Bank, update Status, AC date, WA and notes.
3. Log every 5-hour contest in Virtual Log.
4. Retry failed tasks after 7 and 21 days.
5. Do not solve all 184 entries; pass Topic Gates.
6. APAC date is a March placeholder until exact date is published.</t>
  </si>
  <si>
    <t>CURRENT DEFINITION OF READY</t>
  </si>
  <si>
    <t>Regional: pass topic gates, then score 5+ on three consecutive Regional virtuals without missing easy tasks because of primitive gaps.
APAC: owner coverage, two coding streams, and trend toward 5-7 solves on APAC old sets.</t>
  </si>
  <si>
    <t>Start here: Weekly Plan -&gt; Task Bank -&gt; Virtual Log -&gt; Topic Gates</t>
  </si>
  <si>
    <t>Week</t>
  </si>
  <si>
    <t>From</t>
  </si>
  <si>
    <t>To</t>
  </si>
  <si>
    <t>Phase</t>
  </si>
  <si>
    <t>Planned hrs</t>
  </si>
  <si>
    <t>Focus</t>
  </si>
  <si>
    <t>Assigned tasks / rule</t>
  </si>
  <si>
    <t>Virtual / Contest</t>
  </si>
  <si>
    <t>Output / Gate</t>
  </si>
  <si>
    <t>Status</t>
  </si>
  <si>
    <t>Actual hrs</t>
  </si>
  <si>
    <t>Task completion</t>
  </si>
  <si>
    <t>Notes</t>
  </si>
  <si>
    <t>Phase 0 - Baseline</t>
  </si>
  <si>
    <t>Implementation + baseline</t>
  </si>
  <si>
    <t>00 A: Apartments; Factory Machines; Max Subarray II; Sum of Four Values</t>
  </si>
  <si>
    <t>Southern 2023 virtual</t>
  </si>
  <si>
    <t>Record score, WA, first AC; freeze basic C++ workflow</t>
  </si>
  <si>
    <t>Not started</t>
  </si>
  <si>
    <t>Phase 1 - Foundation</t>
  </si>
  <si>
    <t>Greedy, binary search, two pointers, MITM</t>
  </si>
  <si>
    <t>00 B: Movie Festival II; Array Division; Collecting Numbers II; MITM; Traffic Lights</t>
  </si>
  <si>
    <t>Southern 2024 virtual</t>
  </si>
  <si>
    <t>3 easy problems inside 90 minutes</t>
  </si>
  <si>
    <t>Graph shortest path, SCC, MST, low-link</t>
  </si>
  <si>
    <t>Graph A: Flight Discount; Investigation; Coin Collector; Road Reparation; Necessary Roads/Cities</t>
  </si>
  <si>
    <t>Graph mashup 5h</t>
  </si>
  <si>
    <t>Dijkstra/SCC/low-link written without template copy</t>
  </si>
  <si>
    <t>Fenwick, lazy segment tree, sparse table</t>
  </si>
  <si>
    <t>DS A: range update/sum; salary; RMQ; GSS3; ORDERSET</t>
  </si>
  <si>
    <t>DS mashup 5h</t>
  </si>
  <si>
    <t>Lazy assign/add stress passes small brute</t>
  </si>
  <si>
    <t>Tree LCA, Euler, difference, rerooting</t>
  </si>
  <si>
    <t>Tree A: Company Queries II; Counting Paths; Path Queries; Tree Distances II</t>
  </si>
  <si>
    <t>Tree mashup 5h</t>
  </si>
  <si>
    <t>LCA + Euler + rerooting from scratch</t>
  </si>
  <si>
    <t>DP interval, bitmask, profile, digit</t>
  </si>
  <si>
    <t>DP A: Projects; Removal Game; Elevator Rides; Counting Tilings; Counting Numbers</t>
  </si>
  <si>
    <t>DP mashup 5h</t>
  </si>
  <si>
    <t>Write recurrence and complexity before coding</t>
  </si>
  <si>
    <t>Math core + string primitives</t>
  </si>
  <si>
    <t>Math A + KMP/Z: divisors; nCk; inclusion-exclusion; String Matching; Borders</t>
  </si>
  <si>
    <t>Southern 2025 virtual</t>
  </si>
  <si>
    <t>No primitive gap on easy/medium tasks</t>
  </si>
  <si>
    <t>Phase 2 - Regional core</t>
  </si>
  <si>
    <t>Flow, matching, min-cut, 2-SAT</t>
  </si>
  <si>
    <t>Download Speed; Police Chase; School Dance; Distinct Routes; Giant Pizza</t>
  </si>
  <si>
    <t>National 2021 virtual</t>
  </si>
  <si>
    <t>One AC flow and one min-cut reconstruction</t>
  </si>
  <si>
    <t>HLD, DSU on tree, path counting</t>
  </si>
  <si>
    <t>Path Queries II; Fools and Roads; QTREE; Fixed-Length Paths I; Lomsat gelral</t>
  </si>
  <si>
    <t>Tree/DS team mashup</t>
  </si>
  <si>
    <t>HLD from scratch; one owner advanced tree</t>
  </si>
  <si>
    <t>Aho-Corasick, suffix array/LCP</t>
  </si>
  <si>
    <t>Word Combinations; Finding/Counting Patterns; Pattern Positions; Repeating Substring</t>
  </si>
  <si>
    <t>String mashup 5h</t>
  </si>
  <si>
    <t>One Aho AC and one suffix-array AC</t>
  </si>
  <si>
    <t>Robust geometry + sweep line</t>
  </si>
  <si>
    <t>Point/segment/polygon; Convex Hull; Intersection Points</t>
  </si>
  <si>
    <t>Geometry mashup 5h</t>
  </si>
  <si>
    <t>Integer primitives survive edge-case suite</t>
  </si>
  <si>
    <t>DP optimization</t>
  </si>
  <si>
    <t>Intervals; Frog 3; Houses and Schools; Knuth Division; Sushi</t>
  </si>
  <si>
    <t>National 2022 virtual</t>
  </si>
  <si>
    <t>Explain condition for CHT/D&amp;C/Knuth</t>
  </si>
  <si>
    <t>Proof, constructive, game</t>
  </si>
  <si>
    <t>Tasks and Deadlines; Stick Divisions; Number Game; Divisibility Grid; Nim I</t>
  </si>
  <si>
    <t>National 2023 virtual</t>
  </si>
  <si>
    <t>Two written proofs + brute-small workflow</t>
  </si>
  <si>
    <t>Phase 3 - Southern peak</t>
  </si>
  <si>
    <t>Graph/modeling integration</t>
  </si>
  <si>
    <t>Planets Queries II; Teleporters Path; Matrix Multiplication; One-Way Streets</t>
  </si>
  <si>
    <t>Southern 2023 replay + mashup</t>
  </si>
  <si>
    <t>5-7 solves; no missed easy problem</t>
  </si>
  <si>
    <t>DS/offline integration</t>
  </si>
  <si>
    <t>Child and Sequence; XOR on Segment; Powerful Array; K Query; persistence</t>
  </si>
  <si>
    <t>Southern 2024 replay + mashup</t>
  </si>
  <si>
    <t>Two independent coding streams</t>
  </si>
  <si>
    <t>Mixed Regional pipeline</t>
  </si>
  <si>
    <t>Hamiltonian Path Remix; Hash-shashin; Area Query</t>
  </si>
  <si>
    <t>Southern 2025 replay + second virtual</t>
  </si>
  <si>
    <t>Final solve order; repeated WA list closed</t>
  </si>
  <si>
    <t>Taper + ICPC Southern</t>
  </si>
  <si>
    <t>Retry only; templates frozen; sleep and contest logistics</t>
  </si>
  <si>
    <t>OFFICIAL Southern 17-18/10</t>
  </si>
  <si>
    <t>Compete; capture post-contest notes only</t>
  </si>
  <si>
    <t>Phase 4 - National sprint</t>
  </si>
  <si>
    <t>National review + math/modeling</t>
  </si>
  <si>
    <t>Extended Fermat; Infinite Fraction; upsolve Southern gaps</t>
  </si>
  <si>
    <t>Southern postmortem converted to tasks</t>
  </si>
  <si>
    <t>Advanced B/C by weakest tags</t>
  </si>
  <si>
    <t>Flow + DP + strings + geometry from failed virtuals</t>
  </si>
  <si>
    <t>National 2023 + 2024 virtuals</t>
  </si>
  <si>
    <t>All medium failures upsolved within 72h</t>
  </si>
  <si>
    <t>Taper + ICPC National</t>
  </si>
  <si>
    <t>No new template; short retries only</t>
  </si>
  <si>
    <t>National 2025 virtual; OFFICIAL 08-09/11</t>
  </si>
  <si>
    <t>Compete; notebook frozen 7 days before</t>
  </si>
  <si>
    <t>Phase 5 - Regional sprint</t>
  </si>
  <si>
    <t>National day 2 + recovery</t>
  </si>
  <si>
    <t>National debrief; classify model/technique/code/proof/time</t>
  </si>
  <si>
    <t>No extra virtual</t>
  </si>
  <si>
    <t>Regional owner roles locked</t>
  </si>
  <si>
    <t>Regional 2021</t>
  </si>
  <si>
    <t>Virtual + upsolve + two weakest-topic blocks</t>
  </si>
  <si>
    <t>Regional 2021 virtual</t>
  </si>
  <si>
    <t>Target 5+; retry failures after 7 days</t>
  </si>
  <si>
    <t>Regional 2022-2023</t>
  </si>
  <si>
    <t>Two full virtuals; no new rare technique</t>
  </si>
  <si>
    <t>Regional 2022 + 2023</t>
  </si>
  <si>
    <t>6-8 solves depending on set difficulty</t>
  </si>
  <si>
    <t>Regional 2024-2025</t>
  </si>
  <si>
    <t>Two full virtuals; final templates and solve order</t>
  </si>
  <si>
    <t>Regional 2024 + 2025</t>
  </si>
  <si>
    <t>Three virtuals in a row at Regional-ready gate</t>
  </si>
  <si>
    <t>Taper + Asia Regional Da Nang</t>
  </si>
  <si>
    <t>Retry easy/medium only; logistics; sleep</t>
  </si>
  <si>
    <t>OFFICIAL Regional 10-11/12</t>
  </si>
  <si>
    <t>Compete; no heavy upsolve this week</t>
  </si>
  <si>
    <t>Phase 6 - APAC build</t>
  </si>
  <si>
    <t>Regional postmortem + owner selection</t>
  </si>
  <si>
    <t>Select 2 owner areas/person; build APAC gap list</t>
  </si>
  <si>
    <t>No virtual</t>
  </si>
  <si>
    <t>APAC plan based on evidence, not tags</t>
  </si>
  <si>
    <t>Advanced DS/offline</t>
  </si>
  <si>
    <t>Dynamic Connectivity; METEORS; Wall; Seats</t>
  </si>
  <si>
    <t>Hard mixed set 1</t>
  </si>
  <si>
    <t>One owner for rollback/PBS/Beats</t>
  </si>
  <si>
    <t>Advanced tree</t>
  </si>
  <si>
    <t>Xenia and Tree; Kingdom and its Cities; COT; Race</t>
  </si>
  <si>
    <t>Hard mixed set 2</t>
  </si>
  <si>
    <t>Centroid/virtual tree owner gate</t>
  </si>
  <si>
    <t>Advanced DP</t>
  </si>
  <si>
    <t>Aliens; Wiring; Holiday; Finest Final String</t>
  </si>
  <si>
    <t>Hard mixed set 3</t>
  </si>
  <si>
    <t>Optimization proof before implementation</t>
  </si>
  <si>
    <t>Advanced math/linear algebra</t>
  </si>
  <si>
    <t>Convolution; floor sum; Gaussian; XOR basis</t>
  </si>
  <si>
    <t>Hard mixed set 4</t>
  </si>
  <si>
    <t>NTT or linear algebra owner gate</t>
  </si>
  <si>
    <t>Advanced strings/geometry</t>
  </si>
  <si>
    <t>SAM; Manacher; automaton DP; calipers; circle precision</t>
  </si>
  <si>
    <t>Hard mixed set 5</t>
  </si>
  <si>
    <t>One advanced string + geometry AC</t>
  </si>
  <si>
    <t>APAC 2024</t>
  </si>
  <si>
    <t>Official set under 5h conditions + analysis next day</t>
  </si>
  <si>
    <t>APAC 2024 virtual</t>
  </si>
  <si>
    <t>Baseline APAC score and bottleneck tags</t>
  </si>
  <si>
    <t>APAC 2025</t>
  </si>
  <si>
    <t>Official set under 5h conditions + replay</t>
  </si>
  <si>
    <t>APAC 2025 virtual</t>
  </si>
  <si>
    <t>Improve score or solve order vs APAC 2024</t>
  </si>
  <si>
    <t>APAC 2026</t>
  </si>
  <si>
    <t>APAC 2026 virtual</t>
  </si>
  <si>
    <t>Three APAC data points; final gap list</t>
  </si>
  <si>
    <t>Phase 6 - APAC peak</t>
  </si>
  <si>
    <t>Mixed APAC hard pipeline</t>
  </si>
  <si>
    <t>Cake Cutting; Impossible Inversion; Joint Farm; Group Raiding</t>
  </si>
  <si>
    <t>Two APAC/mixed virtuals</t>
  </si>
  <si>
    <t>5-7 APAC solves target; no single coder bottleneck</t>
  </si>
  <si>
    <t>Phase 6 - APAC taper</t>
  </si>
  <si>
    <t>Retry + notebook freeze</t>
  </si>
  <si>
    <t>Only failed medium tasks and template stress</t>
  </si>
  <si>
    <t>One light replay</t>
  </si>
  <si>
    <t>Ready by 28/02; APAC date still TBD in March</t>
  </si>
  <si>
    <t>ID</t>
  </si>
  <si>
    <t>Topic</t>
  </si>
  <si>
    <t>Tier</t>
  </si>
  <si>
    <t>Task</t>
  </si>
  <si>
    <t>Submit</t>
  </si>
  <si>
    <t>Owner folder</t>
  </si>
  <si>
    <t>Planned week</t>
  </si>
  <si>
    <t>Start date</t>
  </si>
  <si>
    <t>AC date</t>
  </si>
  <si>
    <t>Minutes</t>
  </si>
  <si>
    <t>WA</t>
  </si>
  <si>
    <t>Retry +7</t>
  </si>
  <si>
    <t>Retry +21</t>
  </si>
  <si>
    <t>Key / Focus</t>
  </si>
  <si>
    <t>Source file</t>
  </si>
  <si>
    <t>00 - Implementation, Greedy, Search</t>
  </si>
  <si>
    <t>A - Foundation</t>
  </si>
  <si>
    <t>Apartments</t>
  </si>
  <si>
    <t>00_implementation_greedy_search</t>
  </si>
  <si>
    <t>sorting + two pointers.</t>
  </si>
  <si>
    <t>regional\Tasks\00_implementation_greedy_search\README.md</t>
  </si>
  <si>
    <t>Factory Machines</t>
  </si>
  <si>
    <t>binary search answer, overflow-safe predicate.</t>
  </si>
  <si>
    <t>Maximum Subarray Sum II</t>
  </si>
  <si>
    <t>prefix sums + sliding ordered minimum.</t>
  </si>
  <si>
    <t>Sum of Four Values</t>
  </si>
  <si>
    <t>pair sums, ordering indices, complexity accounting.</t>
  </si>
  <si>
    <t>B - Regional core</t>
  </si>
  <si>
    <t>Movie Festival II</t>
  </si>
  <si>
    <t>greedy + multiset; prove latest compatible resource.</t>
  </si>
  <si>
    <t>Array Division</t>
  </si>
  <si>
    <t>binary search + greedy feasibility.</t>
  </si>
  <si>
    <t>Collecting Numbers II</t>
  </si>
  <si>
    <t>local contribution after swaps.</t>
  </si>
  <si>
    <t>Traffic Lights</t>
  </si>
  <si>
    <t>ordered set + multiset bookkeeping.</t>
  </si>
  <si>
    <t>Nested Ranges Count</t>
  </si>
  <si>
    <t>sorting ties + Fenwick/order statistic.</t>
  </si>
  <si>
    <t>Sliding Window Cost</t>
  </si>
  <si>
    <t>median maintenance + careful accounting.</t>
  </si>
  <si>
    <t>Meet in the Middle</t>
  </si>
  <si>
    <t>split enumeration + sorting/two pointers.   | N khoang 40 la tin hieu quan trong, bank cu chua co mau nay.</t>
  </si>
  <si>
    <t>C - Advanced core</t>
  </si>
  <si>
    <t>Prefix Flip Hard Version</t>
  </si>
  <si>
    <t>lazy simulation of reverse/invert operations.</t>
  </si>
  <si>
    <t>D - Regional scoring pipeline</t>
  </si>
  <si>
    <t>ICPC 2025 Regional - KayTee vs. TeaOne</t>
  </si>
  <si>
    <t xml:space="preserve">statement-to-code, validation and casework.  </t>
  </si>
  <si>
    <t>ICPC 2025 Regional - Aquatic Elevator</t>
  </si>
  <si>
    <t>adhoc optimization, identify the monotone/partition structure before coding.</t>
  </si>
  <si>
    <t>ICPC 2025 Regional - Electronic Toll Collection</t>
  </si>
  <si>
    <t>adhoc graph observation; do not force a heavy template too early.</t>
  </si>
  <si>
    <t>ICPC 2025 Regional - Divisibility Grid</t>
  </si>
  <si>
    <t>Reference</t>
  </si>
  <si>
    <t>08_proof_constructive_game</t>
  </si>
  <si>
    <t>constructive pattern + optimality proof. Day van la bai scoring; cho phep dung brute nho de tim pattern.</t>
  </si>
  <si>
    <t>E - Stretch pipeline</t>
  </si>
  <si>
    <t>Robots</t>
  </si>
  <si>
    <t>greedy feasibility + binary search.   | OI-level nhung transferable; lam full constraints va stress predicate.</t>
  </si>
  <si>
    <t>01 - Graph and Modeling</t>
  </si>
  <si>
    <t>Flight Discount</t>
  </si>
  <si>
    <t>01_graph_modeling</t>
  </si>
  <si>
    <t>Dijkstra with state / edge split.   | Shortest path co mot thao tac dac biet.</t>
  </si>
  <si>
    <t>regional\Tasks\01_graph_modeling\README.md</t>
  </si>
  <si>
    <t>Investigation</t>
  </si>
  <si>
    <t>Dijkstra + count/min/max edges.   | Re-laxation co nhieu thong tin, de sai tie.</t>
  </si>
  <si>
    <t>Coin Collector</t>
  </si>
  <si>
    <t>SCC condensation + DAG DP.   | Mau Regional rat hay gap: compress truoc, DP sau.</t>
  </si>
  <si>
    <t>Giant Pizza</t>
  </si>
  <si>
    <t>2-SAT, implication graph, SCC.   | Bat buoc biet khi gap rang buoc either/or.</t>
  </si>
  <si>
    <t>Road Reparation</t>
  </si>
  <si>
    <t>Kruskal + DSU, MST cut property.   | MST la lo hong lon cua bank cu.</t>
  </si>
  <si>
    <t>Necessary Roads</t>
  </si>
  <si>
    <t>bridges / low-link.   | Primitive bat buoc truoc block-cut tree.</t>
  </si>
  <si>
    <t>Necessary Cities</t>
  </si>
  <si>
    <t>articulation points / low-link.   | Root case va low-link condition rat de sai.</t>
  </si>
  <si>
    <t>Download Speed</t>
  </si>
  <si>
    <t>Dinic max flow.   | Flow template baseline.</t>
  </si>
  <si>
    <t>Police Chase</t>
  </si>
  <si>
    <t>Max flow + min cut extraction.   | Khong chi tinh maxflow, con phai reconstruct cut.</t>
  </si>
  <si>
    <t>School Dance</t>
  </si>
  <si>
    <t>Bipartite matching / max flow.   | Assignment modeling co ban.</t>
  </si>
  <si>
    <t>Distinct Routes</t>
  </si>
  <si>
    <t>Max flow + path decomposition.   | Code nang hon plain maxflow.</t>
  </si>
  <si>
    <t>Mail Delivery</t>
  </si>
  <si>
    <t>Euler cycle.   | Constructive graph output.</t>
  </si>
  <si>
    <t>Teleporters Path</t>
  </si>
  <si>
    <t>Directed Euler path.   | Dieu kien dau/cuoi va output de sai.</t>
  </si>
  <si>
    <t>Planets Queries II</t>
  </si>
  <si>
    <t>functional graph, cycle/tree decomposition, binary lifting.   | Functional graph xuat hien duoi nhieu lop statement.</t>
  </si>
  <si>
    <t>Legacy</t>
  </si>
  <si>
    <t>Segment-tree graph + Dijkstra.   | Modeling nang, code dai, van trong scope Regional.</t>
  </si>
  <si>
    <t>Delivery Bears</t>
  </si>
  <si>
    <t>Max flow + binary search answer.   | Flow predicate + toi uu dap an.</t>
  </si>
  <si>
    <t>Task Assignment</t>
  </si>
  <si>
    <t>min-cost flow / Hungarian.   | Bai owner de hoan thien assignment modeling; mot trong hai cach la du.</t>
  </si>
  <si>
    <t>Tourists</t>
  </si>
  <si>
    <t>vertex-biconnected components + block-cut tree + data structure.   | Block-cut tree can mot bai owner that; khong phai gate ca doi.</t>
  </si>
  <si>
    <t>Reachable Nodes</t>
  </si>
  <si>
    <t>topological DP + dynamic bitset.   | Them bitset optimization tren DAG ma khong day no thanh topic rieng.</t>
  </si>
  <si>
    <t>D - Regional pipeline</t>
  </si>
  <si>
    <t>ICPC 2025 Regional - Matrix Multiplication</t>
  </si>
  <si>
    <t xml:space="preserve">graph modeling tu statement la.  </t>
  </si>
  <si>
    <t>Commuter Pass</t>
  </si>
  <si>
    <t xml:space="preserve">shortest paths + structure of shortest path DAG.  </t>
  </si>
  <si>
    <t>One-Way Streets</t>
  </si>
  <si>
    <t xml:space="preserve">bridges, components, edge orientation.  </t>
  </si>
  <si>
    <t>E - Stretch/OI pipeline</t>
  </si>
  <si>
    <t>ICPC 2025 Regional - Joint Farm</t>
  </si>
  <si>
    <t xml:space="preserve">hard flow modeling.  </t>
  </si>
  <si>
    <t>Crocodile's Underground City</t>
  </si>
  <si>
    <t xml:space="preserve">multi-source shortest path variant.  </t>
  </si>
  <si>
    <t>02 - Data Structures</t>
  </si>
  <si>
    <t>Range Update Queries</t>
  </si>
  <si>
    <t>02_data_structures</t>
  </si>
  <si>
    <t>Fenwick / difference updates.   | Nen tang cho range update.</t>
  </si>
  <si>
    <t>regional\Tasks\02_data_structures\README.md</t>
  </si>
  <si>
    <t>Range Updates and Sums</t>
  </si>
  <si>
    <t>Lazy segment tree assign/add.   | Template bat buoc cho Regional.</t>
  </si>
  <si>
    <t>Salary Queries</t>
  </si>
  <si>
    <t>Coordinate compression + Fenwick.   | Dynamic values va count queries.</t>
  </si>
  <si>
    <t>Sliding Window Median</t>
  </si>
  <si>
    <t>Multiset / order statistic.   | Duy tri median online.</t>
  </si>
  <si>
    <t>Median + prefix sums in DS.   | Cung DS nhung accounting kho hon.</t>
  </si>
  <si>
    <t>Static Range Minimum Queries</t>
  </si>
  <si>
    <t>sparse table / idempotent query.   | Bank cu bo sot static RMQ.</t>
  </si>
  <si>
    <t>GSS3</t>
  </si>
  <si>
    <t>segment tree max-subarray with updates.   | Combine function code-heavy nhung van la core drill.</t>
  </si>
  <si>
    <t>ORDERSET</t>
  </si>
  <si>
    <t>order statistic tree / Fenwick.   | K-th va count dynamic la core, khong nen de stretch.</t>
  </si>
  <si>
    <t>The Child and Sequence</t>
  </si>
  <si>
    <t>Segment tree with max pruning.   | Update modulo khong lazy, can prune dung.</t>
  </si>
  <si>
    <t>XOR on Segment</t>
  </si>
  <si>
    <t>Lazy segment tree by bit counts.   | Lazy propagation nang hon binh thuong.</t>
  </si>
  <si>
    <t>Powerful Array</t>
  </si>
  <si>
    <t>Mo's algorithm.   | Offline sqrt decomposition classic.</t>
  </si>
  <si>
    <t>Little Elephant and Array</t>
  </si>
  <si>
    <t>Mo's algorithm + frequency condition.   | Query condition khong phai sum/count don gian.</t>
  </si>
  <si>
    <t>Range Queries and Copies</t>
  </si>
  <si>
    <t>persistent segment tree / copy-on-write versions.   | Persistence can mot bai doc lap truoc khi ghep voi tree.</t>
  </si>
  <si>
    <t>Dynamic Connectivity</t>
  </si>
  <si>
    <t>rollback DSU + segment tree over time.   | Offline dynamic graph la pattern Regional/APAC rat co gia tri.</t>
  </si>
  <si>
    <t>METEORS</t>
  </si>
  <si>
    <t>parallel binary search + Fenwick.   | Pipeline offline code dai, nhung technique van nam trong scope.</t>
  </si>
  <si>
    <t>COT</t>
  </si>
  <si>
    <t>03_tree</t>
  </si>
  <si>
    <t>persistent segment tree on tree paths.   | Chi AC mot lan; Tree la folder owner cua bai nay.</t>
  </si>
  <si>
    <t>ICPC 2021 Regional - K Query</t>
  </si>
  <si>
    <t xml:space="preserve">offline/persistent query thinking.  </t>
  </si>
  <si>
    <t>ICPC 2025 Regional - Cake Cutting</t>
  </si>
  <si>
    <t xml:space="preserve">Segment Tree Beats.  </t>
  </si>
  <si>
    <t>ICPC 2025 Regional - Impossible Inversion Counting</t>
  </si>
  <si>
    <t xml:space="preserve">DS nang + dieu kien dac biet.  </t>
  </si>
  <si>
    <t>Wall</t>
  </si>
  <si>
    <t xml:space="preserve">lazy chmin/chmax range constraints.  </t>
  </si>
  <si>
    <t>Game</t>
  </si>
  <si>
    <t xml:space="preserve">sparse 2D segment tree / dynamic grid DS.  </t>
  </si>
  <si>
    <t>Seats</t>
  </si>
  <si>
    <t xml:space="preserve">dynamic grid invariant + DS updates.  </t>
  </si>
  <si>
    <t>03 - Tree</t>
  </si>
  <si>
    <t>Company Queries II</t>
  </si>
  <si>
    <t>LCA / binary lifting.   | Template LCA co ban.</t>
  </si>
  <si>
    <t>regional\Tasks\03_tree\README.md</t>
  </si>
  <si>
    <t>Distance Queries</t>
  </si>
  <si>
    <t>LCA + depth.   | Path distance dung rat nhieu.</t>
  </si>
  <si>
    <t>Counting Paths</t>
  </si>
  <si>
    <t>LCA + difference on tree.   | Trick cong don tren cay rat hay gap.</t>
  </si>
  <si>
    <t>Path Queries</t>
  </si>
  <si>
    <t>Euler tour + Fenwick/segment tree.   | Subtree/path value maintenance.</t>
  </si>
  <si>
    <t>Tree Distances II</t>
  </si>
  <si>
    <t>rerooting DP.   | Rerooting dang thieu trong bank cu.</t>
  </si>
  <si>
    <t>Path Queries II</t>
  </si>
  <si>
    <t>HLD + segment tree.   | Core path query template.</t>
  </si>
  <si>
    <t>Fixed-Length Paths I</t>
  </si>
  <si>
    <t>Tree path counting.   | Cau noi sang decomposition thinking.</t>
  </si>
  <si>
    <t>Fixed-Length Paths II</t>
  </si>
  <si>
    <t>Optimized path counting.   | Kiem soat complexity va implementation.</t>
  </si>
  <si>
    <t>Lomsat gelral</t>
  </si>
  <si>
    <t>DSU on tree.   | Classic subtree color frequency.</t>
  </si>
  <si>
    <t>Tree and Queries</t>
  </si>
  <si>
    <t>DSU on tree / Mo on tree.   | Query condition can bookkeeping tot.</t>
  </si>
  <si>
    <t>Fools and Roads</t>
  </si>
  <si>
    <t>Path counting with LCA differences.   | Core rerun cho tree difference; khong phai stretch.</t>
  </si>
  <si>
    <t>QTREE</t>
  </si>
  <si>
    <t>HLD + segment tree edge weights.   | Drill implementation HLD.</t>
  </si>
  <si>
    <t>Xenia and Tree</t>
  </si>
  <si>
    <t>centroid decomposition / sqrt rebuild alternative.   | Bai centroid chuan de lam owner.</t>
  </si>
  <si>
    <t>Kingdom and its Cities</t>
  </si>
  <si>
    <t>virtual tree + tree DP.   | Virtual tree can it nhat mot bai that, khong chi doc template.</t>
  </si>
  <si>
    <t>Persistent segment tree + LCA.   | Chi AC mot lan; Tree la folder owner.</t>
  </si>
  <si>
    <t>ICPC 2022 Regional - K Paths</t>
  </si>
  <si>
    <t xml:space="preserve">path counting/modeling.  </t>
  </si>
  <si>
    <t>ICPC 2021 Regional - Awesome MST Problem</t>
  </si>
  <si>
    <t xml:space="preserve">MST reasoning.  </t>
  </si>
  <si>
    <t>Race</t>
  </si>
  <si>
    <t xml:space="preserve">weighted tree path, centroid/decomposition thinking.  </t>
  </si>
  <si>
    <t>Magic Tree</t>
  </si>
  <si>
    <t xml:space="preserve">tree DP with nontrivial transitions.  </t>
  </si>
  <si>
    <t>Shortcut</t>
  </si>
  <si>
    <t xml:space="preserve">tree/path optimization.  </t>
  </si>
  <si>
    <t>04 - Advanced DP</t>
  </si>
  <si>
    <t>Projects</t>
  </si>
  <si>
    <t>04_dp_advanced</t>
  </si>
  <si>
    <t>Weighted interval DP.   | Sort + binary search + DP classic.</t>
  </si>
  <si>
    <t>regional\Tasks\04_dp_advanced\README.md</t>
  </si>
  <si>
    <t>Removal Game</t>
  </si>
  <si>
    <t>Interval/game DP.   | Nen tang minimax DP.</t>
  </si>
  <si>
    <t>Elevator Rides</t>
  </si>
  <si>
    <t>Bitmask DP with pair state.   | Small-mask optimization pattern.</t>
  </si>
  <si>
    <t>Counting Tilings</t>
  </si>
  <si>
    <t>Profile DP.   | Regional grid-state staple.</t>
  </si>
  <si>
    <t>Counting Numbers</t>
  </si>
  <si>
    <t>digit DP with tight/leading/previous state.   | Digit DP dang thieu hoan toan trong bank cu.</t>
  </si>
  <si>
    <t>Hamiltonian Flights</t>
  </si>
  <si>
    <t>Bitmask graph DP.   | Path counting under mask constraints.</t>
  </si>
  <si>
    <t>Increasing Subsequence II</t>
  </si>
  <si>
    <t>Fenwick DP.   | DP + data structure.</t>
  </si>
  <si>
    <t>O - Matching</t>
  </si>
  <si>
    <t>Bitmask DP.   | Clean nontrivial state transition.</t>
  </si>
  <si>
    <t>U - Grouping</t>
  </si>
  <si>
    <t>Subset DP.   | Code-heavy subset enumeration.</t>
  </si>
  <si>
    <t>V - Subtree</t>
  </si>
  <si>
    <t>Rerooting DP.   | Tree DP pattern bat buoc.</t>
  </si>
  <si>
    <t>J - Sushi</t>
  </si>
  <si>
    <t>expected value DP and state compression.   | Expected DP hay bi bo qua nhung van co the ra Regional.</t>
  </si>
  <si>
    <t>W - Intervals</t>
  </si>
  <si>
    <t>DP + lazy segment tree.   | Regional style: transition can DS.</t>
  </si>
  <si>
    <t>Z - Frog 3</t>
  </si>
  <si>
    <t>Convex hull trick.   | Baseline CHT optimization.</t>
  </si>
  <si>
    <t>Y - Grid 2</t>
  </si>
  <si>
    <t>Combinatorics + sorted DP.   | Counting paths with forbidden cells.</t>
  </si>
  <si>
    <t>Houses and Schools</t>
  </si>
  <si>
    <t>divide-and-conquer DP optimization.   | Bai submit that cho D&amp;C, khong chi doc blog.</t>
  </si>
  <si>
    <t>Knuth Division</t>
  </si>
  <si>
    <t>Knuth optimization.   | Bat buoc viet va kiem tra opt interval.</t>
  </si>
  <si>
    <t>ICPC 2025 Regional - Hamiltonian Path Remix</t>
  </si>
  <si>
    <t xml:space="preserve">range DP + geometry/non-crossing insight.  </t>
  </si>
  <si>
    <t>ICPC 2025 Regional - Finest Final String</t>
  </si>
  <si>
    <t xml:space="preserve">hard DP optimization with DS.  </t>
  </si>
  <si>
    <t>Aliens</t>
  </si>
  <si>
    <t xml:space="preserve">DP optimization / Aliens trick.  </t>
  </si>
  <si>
    <t>Wiring</t>
  </si>
  <si>
    <t xml:space="preserve">sorted DP with optimization.  </t>
  </si>
  <si>
    <t>Holiday</t>
  </si>
  <si>
    <t xml:space="preserve">DP + data structure / divide structure.  </t>
  </si>
  <si>
    <t>05 - Math and Counting</t>
  </si>
  <si>
    <t>Counting Divisors</t>
  </si>
  <si>
    <t>05_math_counting</t>
  </si>
  <si>
    <t>Sieve / divisor count.   | Warm-up cho factor precompute.</t>
  </si>
  <si>
    <t>regional\Tasks\05_math_counting\README.md</t>
  </si>
  <si>
    <t>Common Divisors</t>
  </si>
  <si>
    <t>Frequency over multiples.   | Counting by divisors, hay gap trong gcd tasks.</t>
  </si>
  <si>
    <t>Binomial Coefficients</t>
  </si>
  <si>
    <t>Factorials + modular inverse.   | Template combinatorics bat buoc.</t>
  </si>
  <si>
    <t>Christmas Party</t>
  </si>
  <si>
    <t>Derangements.   | Recurrence dem co ban.</t>
  </si>
  <si>
    <t>Prime Multiples</t>
  </si>
  <si>
    <t>inclusion-exclusion with overflow control.   | Gate inclusion-exclusion ro rang.</t>
  </si>
  <si>
    <t>Chinese Remainder</t>
  </si>
  <si>
    <t>extended Euclid + CRT merge.   | CRT co bai submit rieng thay vi chi nam trong checklist.</t>
  </si>
  <si>
    <t>Divisor Analysis</t>
  </si>
  <si>
    <t>Multiplicative functions.   | Can derive formula can than.</t>
  </si>
  <si>
    <t>Sum of Divisors</t>
  </si>
  <si>
    <t>Harmonic grouping.   | Toi uu sqrt/harmonic Regional hay dung.</t>
  </si>
  <si>
    <t>Bracket Sequences II</t>
  </si>
  <si>
    <t>Catalan/counting with prefix constraint.   | Counting + dieu kien hop le.</t>
  </si>
  <si>
    <t>R - Walk</t>
  </si>
  <si>
    <t>Matrix exponentiation.   | Counting walks voi fast exponentiation.</t>
  </si>
  <si>
    <t>Counting Coprime Pairs</t>
  </si>
  <si>
    <t>Mobius inversion / divisor frequency.   | Bai gate cho Mobius, lap dung lo hong bank cu.</t>
  </si>
  <si>
    <t>Counting Necklaces</t>
  </si>
  <si>
    <t>Burnside lemma + modular arithmetic.   | Them mot mau counting theo symmetry.</t>
  </si>
  <si>
    <t>F - Convolution</t>
  </si>
  <si>
    <t>NTT/convolution.   | Owner task; khong can lam truoc Regional core.</t>
  </si>
  <si>
    <t>Sum of Floor of Linear</t>
  </si>
  <si>
    <t>Euclidean recursion / floor sum.   | Ky thuat so hoc ngan nhung de nhan ra trong statement la.</t>
  </si>
  <si>
    <t>System of Linear Equations</t>
  </si>
  <si>
    <t>Gaussian elimination.   | Linear algebra template.</t>
  </si>
  <si>
    <t>Square Subsets</t>
  </si>
  <si>
    <t>Prime parity vectors + mask DP.   | Counting bang vector parity.</t>
  </si>
  <si>
    <t>Ivan and Burgers</t>
  </si>
  <si>
    <t>XOR linear basis / offline queries.   | Stretch cho bitwise linear algebra.</t>
  </si>
  <si>
    <t>D - Regional/National pipeline</t>
  </si>
  <si>
    <t>ICPC 2025 National - Extended Fermat Theorem</t>
  </si>
  <si>
    <t xml:space="preserve">modular arithmetic / number theory.  </t>
  </si>
  <si>
    <t>ICPC 2023 National - Infinite Fraction Sequence</t>
  </si>
  <si>
    <t xml:space="preserve">sequence math / recurrence reasoning.  </t>
  </si>
  <si>
    <t>ICPC 2022 Regional - Median of Xor Sequence</t>
  </si>
  <si>
    <t xml:space="preserve">xor/math counting.  </t>
  </si>
  <si>
    <t>ICPC 2025 Regional - Group Raiding</t>
  </si>
  <si>
    <t xml:space="preserve">number theory + game theory.  </t>
  </si>
  <si>
    <t>Fancy Fence</t>
  </si>
  <si>
    <t>07_geometry</t>
  </si>
  <si>
    <t xml:space="preserve">geometry/counting hybrid.  </t>
  </si>
  <si>
    <t>06 - Strings</t>
  </si>
  <si>
    <t>String Matching</t>
  </si>
  <si>
    <t>06_strings</t>
  </si>
  <si>
    <t>KMP/Z/hash.   | Exact matching baseline.</t>
  </si>
  <si>
    <t>regional\Tasks\06_strings\README.md</t>
  </si>
  <si>
    <t>Finding Borders</t>
  </si>
  <si>
    <t>Prefix-function / Z.   | Border logic hay xuat hien.</t>
  </si>
  <si>
    <t>Finding Periods</t>
  </si>
  <si>
    <t>Prefix-function / Z.   | Periodicity proof.</t>
  </si>
  <si>
    <t>Minimal Rotation</t>
  </si>
  <si>
    <t>Booth / suffix comparison.   | Lexicographic reasoning.</t>
  </si>
  <si>
    <t>Word Combinations</t>
  </si>
  <si>
    <t>Trie + DP.   | Dictionary matching voi DP.</t>
  </si>
  <si>
    <t>Finding Patterns</t>
  </si>
  <si>
    <t>Aho-Corasick.   | Bai nay phai dung Aho trong pipeline, khong doi sang suffix array.</t>
  </si>
  <si>
    <t>Counting Patterns</t>
  </si>
  <si>
    <t>Aho-Corasick counts.   | Them aggregation occurrence.</t>
  </si>
  <si>
    <t>Pattern Positions</t>
  </si>
  <si>
    <t>suffix array + LCP/search.   | Bai nay phai dung suffix array de tach ro coverage.</t>
  </si>
  <si>
    <t>Distinct Substrings</t>
  </si>
  <si>
    <t>suffix automaton.   | Lam bang SAM de dam bao da code structure nay.</t>
  </si>
  <si>
    <t>Repeating Substring</t>
  </si>
  <si>
    <t>Suffix array + LCP.   | Classic LCP use.</t>
  </si>
  <si>
    <t>String Functions</t>
  </si>
  <si>
    <t>Z + prefix function.   | Theory + implementation check.</t>
  </si>
  <si>
    <t>Compress Words</t>
  </si>
  <si>
    <t>KMP/Z rolling overlap.   | String construction code-heavy.</t>
  </si>
  <si>
    <t>Longest Palindrome</t>
  </si>
  <si>
    <t>Manacher.   | Palindrome primitive dang thieu.</t>
  </si>
  <si>
    <t>Required Substring</t>
  </si>
  <si>
    <t>KMP automaton + DP.   | Pattern automaton ket hop counting DP.</t>
  </si>
  <si>
    <t>Substring Order II</t>
  </si>
  <si>
    <t>suffix automaton/array + occurrence multiplicity.   | Query lexicographic kho hon distinct-substring baseline.</t>
  </si>
  <si>
    <t>ICPC 2024 Regional - Hash-shashin</t>
  </si>
  <si>
    <t xml:space="preserve">hashing/string structure.  </t>
  </si>
  <si>
    <t>ICPC 2023 Regional - Flipping Substrings</t>
  </si>
  <si>
    <t xml:space="preserve">substring transformations.  </t>
  </si>
  <si>
    <t xml:space="preserve">string + DP optimization.  </t>
  </si>
  <si>
    <t>JOIOJI</t>
  </si>
  <si>
    <t xml:space="preserve">prefix differences / string counting.  </t>
  </si>
  <si>
    <t>Palindromic Partitions</t>
  </si>
  <si>
    <t xml:space="preserve">palindrome/string partitioning.  </t>
  </si>
  <si>
    <t>07 - Geometry</t>
  </si>
  <si>
    <t>Point Location Test</t>
  </si>
  <si>
    <t>Orientation / cross product.   | Primitive cua moi bai geometry.</t>
  </si>
  <si>
    <t>regional\Tasks\07_geometry\README.md</t>
  </si>
  <si>
    <t>Line Segment Intersection</t>
  </si>
  <si>
    <t>Orientation + bounding boxes.   | Bat buoc xu ly collinear.</t>
  </si>
  <si>
    <t>Polygon Area</t>
  </si>
  <si>
    <t>Shoelace formula.   | Baseline polygon computation.</t>
  </si>
  <si>
    <t>Point in Polygon</t>
  </si>
  <si>
    <t>Ray casting / winding.   | Boundary cases de sai.</t>
  </si>
  <si>
    <t>Polygon Lattice Points</t>
  </si>
  <si>
    <t>Pick theorem + gcd edges.   | Geometry + number theory.</t>
  </si>
  <si>
    <t>Minimum Euclidean Distance</t>
  </si>
  <si>
    <t>Closest pair divide and conquer.   | Geometry algorithm nghiem tuc dau tien.</t>
  </si>
  <si>
    <t>Convex Hull</t>
  </si>
  <si>
    <t>Monotonic chain.   | Hull template phai exact.</t>
  </si>
  <si>
    <t>Intersection Points</t>
  </si>
  <si>
    <t>Sweep line / coordinate compression.   | Code-heavy intersection counting.</t>
  </si>
  <si>
    <t>Area of Rectangles</t>
  </si>
  <si>
    <t>Sweep line + segment tree.   | Geometry + DS combo Regional.</t>
  </si>
  <si>
    <t>Nearest vectors</t>
  </si>
  <si>
    <t>Angle sorting.   | Floating/angle handling.</t>
  </si>
  <si>
    <t>Polygons</t>
  </si>
  <si>
    <t>Convex polygon containment.   | Strict vs non-strict containment reasoning.</t>
  </si>
  <si>
    <t>Volatile Kite</t>
  </si>
  <si>
    <t>Point-line distance / polygon geometry.   | Precision va formula discipline.</t>
  </si>
  <si>
    <t>Robert Hood</t>
  </si>
  <si>
    <t>rotating calipers / diameter of convex hull.   | Hoan thien hull pipeline bang mot bai calipers that.</t>
  </si>
  <si>
    <t>Ancient Berland Circus</t>
  </si>
  <si>
    <t>circumcircle, angle gcd and floating precision.   | Circle/precision coverage dang thieu.</t>
  </si>
  <si>
    <t>ICPC 2023 Regional - Area Query</t>
  </si>
  <si>
    <t xml:space="preserve">geometry/query modeling.  </t>
  </si>
  <si>
    <t xml:space="preserve">geometry + non-crossing DP.  </t>
  </si>
  <si>
    <t xml:space="preserve">geometry/counting.  </t>
  </si>
  <si>
    <t>Rectangles</t>
  </si>
  <si>
    <t xml:space="preserve">rectangle/grid structure.  </t>
  </si>
  <si>
    <t>Broken Line</t>
  </si>
  <si>
    <t xml:space="preserve">constructive geometry/interface thinking.  </t>
  </si>
  <si>
    <t>08 - Proof, Constructive, Game</t>
  </si>
  <si>
    <t>Permutations</t>
  </si>
  <si>
    <t>Constructive parity.   | Nho nhung tap dieu kien can-du.</t>
  </si>
  <si>
    <t>regional\Tasks\08_proof_constructive_game\README.md</t>
  </si>
  <si>
    <t>Gray Code</t>
  </si>
  <si>
    <t>Constructive recursion / bit trick.   | Construction co proof gon.</t>
  </si>
  <si>
    <t>Tasks and Deadlines</t>
  </si>
  <si>
    <t>greedy exchange argument.   | Bat buoc proof sorting order, dung hon Josephus/Hanoi cho muc tieu Regional.</t>
  </si>
  <si>
    <t>Stick Divisions</t>
  </si>
  <si>
    <t>Huffman-style greedy + exchange proof.   | Greedy structure va proof co the transfer.</t>
  </si>
  <si>
    <t>Stick Game</t>
  </si>
  <si>
    <t>Impartial DP game.   | Baseline winning/losing states.</t>
  </si>
  <si>
    <t>Nim Game I</t>
  </si>
  <si>
    <t>XOR invariant.   | Bat buoc biet.</t>
  </si>
  <si>
    <t>Nim Game II</t>
  </si>
  <si>
    <t>Sprague-Grundy variant.   | Kiem tra xem xor reasoning co transfer khong.</t>
  </si>
  <si>
    <t>Stair Game</t>
  </si>
  <si>
    <t>Game invariant / xor on odd piles.   | State compression khong hien nhien.</t>
  </si>
  <si>
    <t>Grundy's Game</t>
  </si>
  <si>
    <t>SG values.   | Classic Grundy precompute.</t>
  </si>
  <si>
    <t>Number Game</t>
  </si>
  <si>
    <t>number-theory case proof, necessary/sufficient conditions.   | Code ngan nhung proof khong tu dong.</t>
  </si>
  <si>
    <t>constructive pattern + optimality proof.   | Chi AC mot lan; day la bai scoring owner chung voi topic 00.</t>
  </si>
  <si>
    <t>Game On Leaves</t>
  </si>
  <si>
    <t>Game on tree, degree/parity.   | Regional-style proof, code rat ngan.</t>
  </si>
  <si>
    <t>Tokitsukaze, CSL and Stone Game</t>
  </si>
  <si>
    <t>Invariant + parity + invalid states.   | Case analysis sac.</t>
  </si>
  <si>
    <t>Constructive transformation.   | Output construction voi invariant.</t>
  </si>
  <si>
    <t>ICPC 2024 Regional - FizzBuzz</t>
  </si>
  <si>
    <t xml:space="preserve">constructive/ad-hoc reasoning.  </t>
  </si>
  <si>
    <t>ICPC 2023 Regional - Divisive Stone Battle</t>
  </si>
  <si>
    <t xml:space="preserve">game/stone process.  </t>
  </si>
  <si>
    <t>ICPC 2024 Regional - Easy Game</t>
  </si>
  <si>
    <t xml:space="preserve">game/ad-hoc proof.  </t>
  </si>
  <si>
    <t xml:space="preserve">number theory + game.  </t>
  </si>
  <si>
    <t>Kangaroo</t>
  </si>
  <si>
    <t xml:space="preserve">constructive/DP reasoning.  </t>
  </si>
  <si>
    <t>Priority</t>
  </si>
  <si>
    <t>Deadline</t>
  </si>
  <si>
    <t>Regional core</t>
  </si>
  <si>
    <t>Advanced / Owner</t>
  </si>
  <si>
    <t>Coverage gate</t>
  </si>
  <si>
    <t>Gate status</t>
  </si>
  <si>
    <t>AC / Tasks</t>
  </si>
  <si>
    <t>Progress</t>
  </si>
  <si>
    <t>P0</t>
  </si>
  <si>
    <t>Sorting, prefix, two pointers, greedy, binary search, simulation</t>
  </si>
  <si>
    <t>MITM, local contribution, casework</t>
  </si>
  <si>
    <t>3 easy tasks inside 90 minutes; no overflow/reset/indexing error</t>
  </si>
  <si>
    <t>P0/P1</t>
  </si>
  <si>
    <t>20/09/2026</t>
  </si>
  <si>
    <t>Shortest path, SCC, low-link, MST, 2-SAT, flow/matching</t>
  </si>
  <si>
    <t>Block-cut tree, functional graph, bitset DAG, min-cost flow</t>
  </si>
  <si>
    <t>Dijkstra/SCC/low-link/Dinic from scratch; one modeling pipeline AC</t>
  </si>
  <si>
    <t>P0/P2</t>
  </si>
  <si>
    <t>Fenwick, lazy segment tree, sparse table, order statistic</t>
  </si>
  <si>
    <t>Persistent, Beats, Mo, rollback/PBS</t>
  </si>
  <si>
    <t>Lazy assign/add from scratch; persistence AC; owner rollback/PBS</t>
  </si>
  <si>
    <t>LCA, Euler, rerooting, HLD, path difference</t>
  </si>
  <si>
    <t>DSU on tree, centroid, virtual tree</t>
  </si>
  <si>
    <t>LCA/Euler/HLD from scratch; reroot AC; one advanced owner</t>
  </si>
  <si>
    <t>Interval, bitmask, digit, profile, tree DP</t>
  </si>
  <si>
    <t>CHT, D&amp;C, Knuth, WQS</t>
  </si>
  <si>
    <t>One AC per core type; explain optimization conditions</t>
  </si>
  <si>
    <t>Modular, CRT, combinatorics, sieve, inclusion-exclusion</t>
  </si>
  <si>
    <t>Mobius/phi, floor sum, NTT, Gaussian/XOR basis</t>
  </si>
  <si>
    <t>Formula derived and brute checked; one advanced owner</t>
  </si>
  <si>
    <t>KMP/Z/hash, trie/Aho, suffix array/LCP</t>
  </si>
  <si>
    <t>Suffix automaton, Manacher, automaton DP</t>
  </si>
  <si>
    <t>KMP/Z/hash from scratch; Aho AC; suffix-array AC</t>
  </si>
  <si>
    <t>P1</t>
  </si>
  <si>
    <t>Orientation, intersection, polygon, hull, sweep</t>
  </si>
  <si>
    <t>Calipers, circle, precision</t>
  </si>
  <si>
    <t>Integer primitives pass edge cases; hull + sweep AC</t>
  </si>
  <si>
    <t>Exchange argument, invariant, necessary/sufficient</t>
  </si>
  <si>
    <t>SG, tree game, hard constructive</t>
  </si>
  <si>
    <t>Two written greedy proofs; brute-small-to-proof workflow</t>
  </si>
  <si>
    <t>Planned date</t>
  </si>
  <si>
    <t>Contest</t>
  </si>
  <si>
    <t>Level</t>
  </si>
  <si>
    <t>Open</t>
  </si>
  <si>
    <t>Solved</t>
  </si>
  <si>
    <t>Penalty</t>
  </si>
  <si>
    <t>First AC (min)</t>
  </si>
  <si>
    <t>Easy missed</t>
  </si>
  <si>
    <t>Main failure</t>
  </si>
  <si>
    <t>Upsolve due</t>
  </si>
  <si>
    <t>Southern 2023</t>
  </si>
  <si>
    <t>Southern</t>
  </si>
  <si>
    <t>Planned</t>
  </si>
  <si>
    <t>Southern 2024</t>
  </si>
  <si>
    <t>Southern 2025</t>
  </si>
  <si>
    <t>National 2021</t>
  </si>
  <si>
    <t>National</t>
  </si>
  <si>
    <t>National 2022</t>
  </si>
  <si>
    <t>National 2023</t>
  </si>
  <si>
    <t>Southern 2023 replay</t>
  </si>
  <si>
    <t>Southern 2024 replay</t>
  </si>
  <si>
    <t>Southern 2025 replay</t>
  </si>
  <si>
    <t>OFFICIAL Southern</t>
  </si>
  <si>
    <t>Official</t>
  </si>
  <si>
    <t>National 2022 replay</t>
  </si>
  <si>
    <t>National 2024</t>
  </si>
  <si>
    <t>National 2025</t>
  </si>
  <si>
    <t>OFFICIAL National</t>
  </si>
  <si>
    <t>Regional</t>
  </si>
  <si>
    <t>Regional 2022</t>
  </si>
  <si>
    <t>Regional 2023</t>
  </si>
  <si>
    <t>Regional 2024</t>
  </si>
  <si>
    <t>Regional 2025</t>
  </si>
  <si>
    <t>OFFICIAL Asia Regional Da Nang</t>
  </si>
  <si>
    <t>APAC</t>
  </si>
  <si>
    <t>APAC mixed/replay 1</t>
  </si>
  <si>
    <t>APAC mixed/replay 2</t>
  </si>
  <si>
    <t>WEEKLY RHYTHM - EDIT TIMES TO MATCH YOUR CLASS SCHEDULE</t>
  </si>
  <si>
    <t>Mode</t>
  </si>
  <si>
    <t>Session</t>
  </si>
  <si>
    <t>Duration</t>
  </si>
  <si>
    <t>Content</t>
  </si>
  <si>
    <t>Required output</t>
  </si>
  <si>
    <t>When</t>
  </si>
  <si>
    <t>Regular 13h</t>
  </si>
  <si>
    <t>1 - Team virtual</t>
  </si>
  <si>
    <t>5h</t>
  </si>
  <si>
    <t>Full contest, one computer, no editorial</t>
  </si>
  <si>
    <t>Score + WA + first AC + missed easy</t>
  </si>
  <si>
    <t>Weekend</t>
  </si>
  <si>
    <t>2 - Team upsolve</t>
  </si>
  <si>
    <t>2.5h</t>
  </si>
  <si>
    <t>Reconstruct model and code failed medium tasks</t>
  </si>
  <si>
    <t>Upsolve note + retry date</t>
  </si>
  <si>
    <t>Next day</t>
  </si>
  <si>
    <t>3 - Topic block A</t>
  </si>
  <si>
    <t>2h</t>
  </si>
  <si>
    <t>Foundation/core tasks from weekly focus</t>
  </si>
  <si>
    <t>2 AC or one deep failure note</t>
  </si>
  <si>
    <t>Weekday</t>
  </si>
  <si>
    <t>4 - Topic block B</t>
  </si>
  <si>
    <t>Core/owner task or code-heavy pipeline</t>
  </si>
  <si>
    <t>1 AC / implementation checkpoint</t>
  </si>
  <si>
    <t>5 - Template/retry</t>
  </si>
  <si>
    <t>1.5h</t>
  </si>
  <si>
    <t>Stress template and retry +7/+21</t>
  </si>
  <si>
    <t>Template passes brute</t>
  </si>
  <si>
    <t>Short weekday</t>
  </si>
  <si>
    <t>Peak 17-18h</t>
  </si>
  <si>
    <t>1-2 - Team virtuals</t>
  </si>
  <si>
    <t>10h</t>
  </si>
  <si>
    <t>Two full contest sets</t>
  </si>
  <si>
    <t>Compare solve order and bottlenecks</t>
  </si>
  <si>
    <t>Weekend + one evening</t>
  </si>
  <si>
    <t>3 - Upsolve</t>
  </si>
  <si>
    <t>3h</t>
  </si>
  <si>
    <t>Only scoring failures first</t>
  </si>
  <si>
    <t>Medium failures closed in 72h</t>
  </si>
  <si>
    <t>4-5 - Retry/template</t>
  </si>
  <si>
    <t>4-5h</t>
  </si>
  <si>
    <t>No broad new tags</t>
  </si>
  <si>
    <t>Stable notebook and two code streams</t>
  </si>
  <si>
    <t>Weekdays</t>
  </si>
  <si>
    <t>Taper 8-10h</t>
  </si>
  <si>
    <t>1 - Light replay</t>
  </si>
  <si>
    <t>Easy/medium problems only</t>
  </si>
  <si>
    <t>Confidence and clean code</t>
  </si>
  <si>
    <t>Early week</t>
  </si>
  <si>
    <t>2 - Template check</t>
  </si>
  <si>
    <t>Compile/stress notebook</t>
  </si>
  <si>
    <t>No unverified template</t>
  </si>
  <si>
    <t>3 - Rest/logistics</t>
  </si>
  <si>
    <t>3-5h</t>
  </si>
  <si>
    <t>Sleep, travel, contest setup</t>
  </si>
  <si>
    <t>Ready to compete</t>
  </si>
  <si>
    <t>Before event</t>
  </si>
  <si>
    <t>Rule</t>
  </si>
  <si>
    <t>Meaning</t>
  </si>
  <si>
    <t>Do not tick the whole bank</t>
  </si>
  <si>
    <t>Pass topic gates; select tasks from failures and owner roles.</t>
  </si>
  <si>
    <t>Failed problem</t>
  </si>
  <si>
    <t>Tag model / technique / implementation / proof / time management.</t>
  </si>
  <si>
    <t>Retry</t>
  </si>
  <si>
    <t>Retry after 7 days and 21 days without old notes/code.</t>
  </si>
  <si>
    <t>Template</t>
  </si>
  <si>
    <t>Only add after AC or stress against brute.</t>
  </si>
  <si>
    <t>Regional-ready</t>
  </si>
  <si>
    <t>3 consecutive Regional virtuals with 5+ solves and no missed easy due to primitive gaps.</t>
  </si>
  <si>
    <t>SOURCES AND FILE MAP</t>
  </si>
  <si>
    <t>Name</t>
  </si>
  <si>
    <t>Type</t>
  </si>
  <si>
    <t>Location / URL</t>
  </si>
  <si>
    <t>Use</t>
  </si>
  <si>
    <t>CP Control Board</t>
  </si>
  <si>
    <t>Local</t>
  </si>
  <si>
    <t>CP\README.md</t>
  </si>
  <si>
    <t>Phases, milestones, weekly load</t>
  </si>
  <si>
    <t>Regional Tasks</t>
  </si>
  <si>
    <t>CP\regional\Tasks\README.md</t>
  </si>
  <si>
    <t>A/B/C/D/E pipeline and gates</t>
  </si>
  <si>
    <t>Mixed contests</t>
  </si>
  <si>
    <t>CP\Asia\99_mixed_contests_hard_tasks\README.md</t>
  </si>
  <si>
    <t>Southern/National/Regional/APAC sets</t>
  </si>
  <si>
    <t>OLP-ICPC Vietnam 2026</t>
  </si>
  <si>
    <t>https://www.olp.vn/tin-t%E1%BB%A9c/olympic-icpc/th%C3%B4ng-b%C3%A1o</t>
  </si>
  <si>
    <t>Published 2026 event dates</t>
  </si>
  <si>
    <t>VNOI Judge</t>
  </si>
  <si>
    <t>Judge</t>
  </si>
  <si>
    <t>https://oj.vnoi.info/</t>
  </si>
  <si>
    <t>Submit Vietnam ICPC sets</t>
  </si>
  <si>
    <t>Official PDF</t>
  </si>
  <si>
    <t>https://fileserv.icpc.jp/championship2024/tasks.pdf</t>
  </si>
  <si>
    <t>Virtual problem set</t>
  </si>
  <si>
    <t>https://fileserv.icpc.jp/championship2025/problemset.pdf</t>
  </si>
  <si>
    <t>https://apac.icpc.global/assets/championship/2026/problemset.pdf</t>
  </si>
  <si>
    <t>Task Status</t>
  </si>
  <si>
    <t>Week Status</t>
  </si>
  <si>
    <t>Failure Tag</t>
  </si>
  <si>
    <t>Virtual Status</t>
  </si>
  <si>
    <t>Model</t>
  </si>
  <si>
    <t>Learning</t>
  </si>
  <si>
    <t>In progress</t>
  </si>
  <si>
    <t>Technique</t>
  </si>
  <si>
    <t>Done</t>
  </si>
  <si>
    <t>Solving</t>
  </si>
  <si>
    <t>Implementation</t>
  </si>
  <si>
    <t>Upsolving</t>
  </si>
  <si>
    <t>AC</t>
  </si>
  <si>
    <t>Blocked</t>
  </si>
  <si>
    <t>Proof</t>
  </si>
  <si>
    <t>Skipped</t>
  </si>
  <si>
    <t>Time management</t>
  </si>
  <si>
    <t>Skip</t>
  </si>
  <si>
    <t>Reading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</si>
</sst>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7">
    <font>
      <sz val="11"/>
      <color theme="1"/>
      <name val="Calibri"/>
      <charset val="134"/>
      <scheme val="minor"/>
    </font>
    <font>
      <sz val="10"/>
      <color theme="1"/>
      <name val="Aptos"/>
      <charset val="134"/>
    </font>
    <font>
      <b/>
      <sz val="10"/>
      <color rgb="FFFFFFFF"/>
      <name val="Aptos"/>
      <charset val="134"/>
    </font>
    <font>
      <u/>
      <sz val="11"/>
      <color rgb="FF0000FF"/>
      <name val="Calibri"/>
      <charset val="0"/>
      <scheme val="minor"/>
    </font>
    <font>
      <b/>
      <sz val="16"/>
      <color rgb="FFFFFFFF"/>
      <name val="Aptos"/>
      <charset val="134"/>
    </font>
    <font>
      <sz val="10"/>
      <color rgb="FF5D6E74"/>
      <name val="Aptos"/>
      <charset val="134"/>
    </font>
    <font>
      <b/>
      <sz val="22"/>
      <color rgb="FFFFFFFF"/>
      <name val="Aptos"/>
      <charset val="134"/>
    </font>
    <font>
      <b/>
      <sz val="10"/>
      <color theme="1"/>
      <name val="Aptos"/>
      <charset val="134"/>
    </font>
    <font>
      <b/>
      <sz val="10"/>
      <color rgb="FF1C2F41"/>
      <name val="Aptos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C2F41"/>
        <bgColor indexed="64"/>
      </patternFill>
    </fill>
    <fill>
      <patternFill patternType="solid">
        <fgColor rgb="FF16706B"/>
        <bgColor indexed="64"/>
      </patternFill>
    </fill>
    <fill>
      <patternFill patternType="solid">
        <fgColor rgb="FFE07A39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8E8"/>
        <bgColor indexed="64"/>
      </patternFill>
    </fill>
    <fill>
      <patternFill patternType="solid">
        <fgColor rgb="FFF2F7FA"/>
        <bgColor indexed="64"/>
      </patternFill>
    </fill>
    <fill>
      <patternFill patternType="solid">
        <fgColor rgb="FFE6EF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DD7DA"/>
      </left>
      <right style="thin">
        <color rgb="FFCDD7DA"/>
      </right>
      <top style="thin">
        <color rgb="FFCDD7DA"/>
      </top>
      <bottom style="thin">
        <color rgb="FFCDD7D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6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2" fillId="4" borderId="0" xfId="0" applyFont="1" applyFill="1" applyAlignment="1">
      <alignment horizontal="center" vertical="center" wrapText="1"/>
    </xf>
    <xf numFmtId="178" fontId="1" fillId="0" borderId="0" xfId="0" applyNumberFormat="1" applyFont="1">
      <alignment vertical="center"/>
    </xf>
    <xf numFmtId="178" fontId="1" fillId="0" borderId="0" xfId="0" applyNumberFormat="1" applyFont="1" applyAlignment="1">
      <alignment vertical="center" wrapText="1"/>
    </xf>
    <xf numFmtId="58" fontId="1" fillId="0" borderId="0" xfId="0" applyNumberFormat="1" applyFont="1" applyAlignment="1">
      <alignment vertical="top" wrapText="1"/>
    </xf>
    <xf numFmtId="9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/>
    </xf>
    <xf numFmtId="0" fontId="3" fillId="0" borderId="0" xfId="6" applyAlignment="1">
      <alignment vertical="top" wrapText="1"/>
    </xf>
    <xf numFmtId="178" fontId="1" fillId="0" borderId="0" xfId="0" applyNumberFormat="1" applyFont="1" applyAlignment="1">
      <alignment vertical="top" wrapText="1"/>
    </xf>
    <xf numFmtId="0" fontId="5" fillId="5" borderId="0" xfId="0" applyFont="1" applyFill="1" applyAlignment="1">
      <alignment vertical="top"/>
    </xf>
    <xf numFmtId="178" fontId="1" fillId="0" borderId="0" xfId="0" applyNumberFormat="1" applyFont="1" applyAlignment="1">
      <alignment vertical="top"/>
    </xf>
    <xf numFmtId="0" fontId="1" fillId="6" borderId="0" xfId="0" applyFont="1" applyFill="1" applyAlignment="1">
      <alignment vertical="top"/>
    </xf>
    <xf numFmtId="0" fontId="1" fillId="7" borderId="0" xfId="0" applyFont="1" applyFill="1" applyAlignment="1">
      <alignment vertical="top"/>
    </xf>
    <xf numFmtId="0" fontId="6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8" fontId="1" fillId="0" borderId="1" xfId="0" applyNumberFormat="1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9" fontId="1" fillId="0" borderId="1" xfId="0" applyNumberFormat="1" applyFont="1" applyBorder="1">
      <alignment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8" fillId="8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6">
    <dxf>
      <alignment vertical="top"/>
    </dxf>
    <dxf>
      <font>
        <name val="Aptos"/>
        <scheme val="none"/>
        <sz val="10"/>
      </font>
      <numFmt numFmtId="178" formatCode="dd/mm/yyyy"/>
      <alignment vertical="top"/>
    </dxf>
    <dxf>
      <font>
        <name val="Aptos"/>
        <scheme val="none"/>
        <sz val="10"/>
      </font>
      <numFmt numFmtId="178" formatCode="dd/mm/yyyy"/>
      <alignment vertical="top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  <numFmt numFmtId="9" formatCode="0%"/>
      <alignment vertical="top" wrapText="1"/>
    </dxf>
    <dxf>
      <font>
        <name val="Aptos"/>
        <scheme val="none"/>
        <sz val="10"/>
      </font>
      <alignment vertical="top" wrapText="1"/>
    </dxf>
    <dxf>
      <alignment vertical="top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  <alignment vertical="top" wrapText="1"/>
    </dxf>
    <dxf>
      <alignment vertical="top" wrapText="1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  <numFmt numFmtId="178" formatCode="dd/mm/yyyy"/>
      <alignment vertical="top" wrapText="1"/>
    </dxf>
    <dxf>
      <font>
        <name val="Aptos"/>
        <scheme val="none"/>
        <sz val="10"/>
      </font>
      <numFmt numFmtId="178" formatCode="dd/mm/yyyy"/>
      <alignment vertical="top" wrapText="1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  <numFmt numFmtId="178" formatCode="dd/mm/yyyy"/>
      <alignment vertical="top" wrapText="1"/>
    </dxf>
    <dxf>
      <font>
        <name val="Aptos"/>
        <scheme val="none"/>
        <sz val="10"/>
      </font>
      <numFmt numFmtId="178" formatCode="dd/mm/yyyy"/>
      <alignment vertical="top" wrapText="1"/>
    </dxf>
    <dxf>
      <font>
        <name val="Aptos"/>
        <scheme val="none"/>
        <sz val="10"/>
      </font>
      <alignment wrapText="1"/>
    </dxf>
    <dxf>
      <font>
        <name val="Aptos"/>
        <scheme val="none"/>
        <sz val="10"/>
      </font>
      <alignment wrapText="1"/>
    </dxf>
    <dxf>
      <font>
        <name val="Aptos"/>
        <scheme val="none"/>
        <sz val="10"/>
      </font>
      <alignment wrapText="1"/>
    </dxf>
    <dxf>
      <font>
        <color rgb="FF358653"/>
      </font>
      <fill>
        <patternFill patternType="solid">
          <bgColor rgb="FFD8EFDC"/>
        </patternFill>
      </fill>
    </dxf>
    <dxf>
      <font>
        <color rgb="FF915C0F"/>
      </font>
      <fill>
        <patternFill patternType="solid">
          <bgColor rgb="FFFFEECC"/>
        </patternFill>
      </fill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  <numFmt numFmtId="58" formatCode="m/d/yyyy"/>
      <alignment vertical="top" wrapText="1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  <numFmt numFmtId="9" formatCode="0%"/>
      <alignment vertical="top" wrapText="1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</dxf>
    <dxf>
      <font>
        <name val="Aptos"/>
        <scheme val="none"/>
        <sz val="10"/>
      </font>
      <numFmt numFmtId="178" formatCode="dd/mm/yyyy"/>
    </dxf>
    <dxf>
      <font>
        <name val="Aptos"/>
        <scheme val="none"/>
        <sz val="10"/>
      </font>
      <alignment wrapText="1"/>
    </dxf>
    <dxf>
      <font>
        <name val="Aptos"/>
        <scheme val="none"/>
        <sz val="10"/>
      </font>
      <alignment wrapText="1"/>
    </dxf>
    <dxf>
      <font>
        <name val="Aptos"/>
        <scheme val="none"/>
        <sz val="10"/>
      </font>
      <alignment wrapText="1"/>
    </dxf>
    <dxf>
      <font>
        <name val="Aptos"/>
        <scheme val="none"/>
        <sz val="10"/>
      </font>
      <alignment wrapText="1"/>
    </dxf>
    <dxf>
      <font>
        <name val="Aptos"/>
        <scheme val="none"/>
        <sz val="10"/>
      </font>
      <alignment wrapText="1"/>
    </dxf>
    <dxf>
      <font>
        <name val="Aptos"/>
        <scheme val="none"/>
        <sz val="10"/>
      </font>
      <alignment wrapText="1"/>
    </dxf>
    <dxf>
      <font>
        <name val="Aptos"/>
        <scheme val="none"/>
        <sz val="10"/>
      </font>
      <alignment wrapText="1"/>
    </dxf>
    <dxf>
      <font>
        <name val="Aptos"/>
        <scheme val="none"/>
        <sz val="10"/>
      </font>
      <alignment wrapText="1"/>
    </dxf>
    <dxf>
      <font>
        <name val="Aptos"/>
        <scheme val="none"/>
        <sz val="10"/>
      </font>
      <alignment wrapText="1"/>
    </dxf>
    <dxf>
      <font>
        <name val="Aptos"/>
        <scheme val="none"/>
        <sz val="10"/>
      </font>
      <alignment wrapText="1"/>
    </dxf>
    <dxf>
      <font>
        <name val="Aptos"/>
        <scheme val="none"/>
        <sz val="10"/>
      </font>
      <numFmt numFmtId="178" formatCode="dd/mm/yyyy"/>
      <alignment wrapText="1"/>
    </dxf>
    <dxf>
      <font>
        <name val="Aptos"/>
        <scheme val="none"/>
        <sz val="10"/>
      </font>
      <numFmt numFmtId="178" formatCode="dd/mm/yyyy"/>
      <alignment wrapText="1"/>
    </dxf>
    <dxf>
      <font>
        <name val="Aptos"/>
        <scheme val="none"/>
        <sz val="10"/>
      </font>
      <alignment wrapText="1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  <alignment vertical="top" wrapText="1"/>
    </dxf>
    <dxf>
      <font>
        <name val="Aptos"/>
        <scheme val="none"/>
        <sz val="10"/>
      </font>
    </dxf>
    <dxf>
      <font>
        <name val="Aptos"/>
        <scheme val="none"/>
        <sz val="10"/>
      </font>
    </dxf>
    <dxf>
      <font>
        <name val="Aptos"/>
        <scheme val="none"/>
        <sz val="10"/>
      </font>
      <alignment wrapText="1"/>
    </dxf>
    <dxf>
      <font>
        <name val="Aptos"/>
        <scheme val="none"/>
        <sz val="10"/>
      </font>
      <alignment wrapText="1"/>
    </dxf>
    <dxf>
      <font>
        <name val="Aptos"/>
        <scheme val="none"/>
        <sz val="10"/>
      </font>
      <alignment wrapText="1"/>
    </dxf>
    <dxf>
      <font>
        <name val="Aptos"/>
        <scheme val="none"/>
        <sz val="10"/>
      </font>
      <alignment wrapText="1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5"/>
      <tableStyleElement type="headerRow" dxfId="74"/>
      <tableStyleElement type="totalRow" dxfId="73"/>
      <tableStyleElement type="firstColumn" dxfId="72"/>
      <tableStyleElement type="lastColumn" dxfId="71"/>
      <tableStyleElement type="firstRowStripe" dxfId="70"/>
      <tableStyleElement type="firstColumnStripe" dxfId="69"/>
    </tableStyle>
    <tableStyle name="PivotStylePreset2_Accent1" table="0" count="10" xr9:uid="{267968C8-6FFD-4C36-ACC1-9EA1FD1885CA}">
      <tableStyleElement type="headerRow" dxfId="85"/>
      <tableStyleElement type="totalRow" dxfId="84"/>
      <tableStyleElement type="firstRowStripe" dxfId="83"/>
      <tableStyleElement type="firstColumnStripe" dxfId="82"/>
      <tableStyleElement type="firstSubtotalRow" dxfId="81"/>
      <tableStyleElement type="secondSubtotalRow" dxfId="80"/>
      <tableStyleElement type="firstRowSubheading" dxfId="79"/>
      <tableStyleElement type="secondRowSubheading" dxfId="78"/>
      <tableStyleElement type="pageFieldLabels" dxfId="77"/>
      <tableStyleElement type="pageFieldValues" dxfId="7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WeeklyPlanTable" displayName="WeeklyPlanTable" ref="A1:M37" totalsRowShown="0">
  <autoFilter xmlns:etc="http://www.wps.cn/officeDocument/2017/etCustomData" ref="A1:M37" etc:filterBottomFollowUsedRange="0"/>
  <tableColumns count="13">
    <tableColumn id="1" name="Week" dataDxfId="0"/>
    <tableColumn id="2" name="From" dataDxfId="1"/>
    <tableColumn id="3" name="To" dataDxfId="2"/>
    <tableColumn id="4" name="Phase" dataDxfId="3"/>
    <tableColumn id="5" name="Planned hrs" dataDxfId="4"/>
    <tableColumn id="6" name="Focus" dataDxfId="5"/>
    <tableColumn id="7" name="Assigned tasks / rule" dataDxfId="6"/>
    <tableColumn id="8" name="Virtual / Contest" dataDxfId="7"/>
    <tableColumn id="9" name="Output / Gate" dataDxfId="8"/>
    <tableColumn id="10" name="Status" dataDxfId="9"/>
    <tableColumn id="11" name="Actual hrs" dataDxfId="10"/>
    <tableColumn id="12" name="Task completion" dataDxfId="11">
      <calculatedColumnFormula>IF(COUNTIF('Task Bank'!$H:$H,A2)=0,"",COUNTIFS('Task Bank'!$H:$H,A2,'Task Bank'!$F:$F,"AC")/COUNTIF('Task Bank'!$H:$H,A2))</calculatedColumnFormula>
    </tableColumn>
    <tableColumn id="13" name="Notes" dataDxfId="12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1" name="TaskBankTable" displayName="TaskBankTable" ref="A1:Q185" totalsRowShown="0">
  <autoFilter xmlns:etc="http://www.wps.cn/officeDocument/2017/etCustomData" ref="A1:Q185" etc:filterBottomFollowUsedRange="0"/>
  <tableColumns count="17">
    <tableColumn id="1" name="ID" dataDxfId="13"/>
    <tableColumn id="2" name="Topic" dataDxfId="14"/>
    <tableColumn id="3" name="Tier" dataDxfId="15"/>
    <tableColumn id="4" name="Task" dataDxfId="16"/>
    <tableColumn id="5" name="Submit" dataDxfId="17"/>
    <tableColumn id="6" name="Status" dataDxfId="18"/>
    <tableColumn id="7" name="Owner folder" dataDxfId="19"/>
    <tableColumn id="8" name="Planned week" dataDxfId="20"/>
    <tableColumn id="9" name="Start date" dataDxfId="21"/>
    <tableColumn id="10" name="AC date" dataDxfId="22"/>
    <tableColumn id="11" name="Minutes" dataDxfId="23"/>
    <tableColumn id="12" name="WA" dataDxfId="24"/>
    <tableColumn id="13" name="Retry +7" dataDxfId="25">
      <calculatedColumnFormula>IF(J2="","",J2+7)</calculatedColumnFormula>
    </tableColumn>
    <tableColumn id="14" name="Retry +21" dataDxfId="26">
      <calculatedColumnFormula>IF(J2="","",J2+21)</calculatedColumnFormula>
    </tableColumn>
    <tableColumn id="15" name="Key / Focus" dataDxfId="27"/>
    <tableColumn id="16" name="Notes" dataDxfId="28"/>
    <tableColumn id="17" name="Source file" dataDxfId="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opicGatesTable" displayName="TopicGatesTable" ref="A1:J10" totalsRowShown="0">
  <autoFilter xmlns:etc="http://www.wps.cn/officeDocument/2017/etCustomData" ref="A1:J10" etc:filterBottomFollowUsedRange="0"/>
  <tableColumns count="10">
    <tableColumn id="1" name="Topic" dataDxfId="32"/>
    <tableColumn id="2" name="Priority" dataDxfId="33"/>
    <tableColumn id="3" name="Deadline" dataDxfId="34"/>
    <tableColumn id="4" name="Regional core" dataDxfId="35"/>
    <tableColumn id="5" name="Advanced / Owner" dataDxfId="36"/>
    <tableColumn id="6" name="Coverage gate" dataDxfId="37"/>
    <tableColumn id="7" name="Gate status" dataDxfId="38"/>
    <tableColumn id="8" name="AC / Tasks" dataDxfId="39">
      <calculatedColumnFormula>COUNTIFS('Task Bank'!$B:$B,A2,'Task Bank'!$F:$F,"AC")&amp;" / "&amp;COUNTIFS('Task Bank'!$B:$B,A2,'Task Bank'!$F:$F,"&lt;&gt;Reference")</calculatedColumnFormula>
    </tableColumn>
    <tableColumn id="9" name="Progress" dataDxfId="40">
      <calculatedColumnFormula>IFERROR(COUNTIFS('Task Bank'!$B:$B,A2,'Task Bank'!$F:$F,"AC")/COUNTIFS('Task Bank'!$B:$B,A2,'Task Bank'!$F:$F,"&lt;&gt;Reference"),0)</calculatedColumnFormula>
    </tableColumn>
    <tableColumn id="10" name="Notes" dataDxfId="41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VirtualLogTable" displayName="VirtualLogTable" ref="A1:O27" totalsRowShown="0">
  <autoFilter xmlns:etc="http://www.wps.cn/officeDocument/2017/etCustomData" ref="A1:O27" etc:filterBottomFollowUsedRange="0"/>
  <tableColumns count="15">
    <tableColumn id="1" name="Week" dataDxfId="42"/>
    <tableColumn id="2" name="Planned date" dataDxfId="43"/>
    <tableColumn id="3" name="Contest" dataDxfId="44"/>
    <tableColumn id="4" name="Level" dataDxfId="45"/>
    <tableColumn id="5" name="Open" dataDxfId="46"/>
    <tableColumn id="6" name="Status" dataDxfId="47"/>
    <tableColumn id="7" name="Solved" dataDxfId="48"/>
    <tableColumn id="8" name="Penalty" dataDxfId="49"/>
    <tableColumn id="9" name="First AC (min)" dataDxfId="50"/>
    <tableColumn id="10" name="WA" dataDxfId="51"/>
    <tableColumn id="11" name="Easy missed" dataDxfId="52"/>
    <tableColumn id="12" name="Main failure" dataDxfId="53"/>
    <tableColumn id="13" name="Upsolve due" dataDxfId="54">
      <calculatedColumnFormula>IF(B2="","",B2+3)</calculatedColumnFormula>
    </tableColumn>
    <tableColumn id="14" name="Retry due" dataDxfId="55">
      <calculatedColumnFormula>IF(B2="","",B2+7)</calculatedColumnFormula>
    </tableColumn>
    <tableColumn id="15" name="Notes" dataDxfId="5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RhythmTable" displayName="RhythmTable" ref="A3:F15" totalsRowShown="0">
  <autoFilter xmlns:etc="http://www.wps.cn/officeDocument/2017/etCustomData" ref="A3:F15" etc:filterBottomFollowUsedRange="0"/>
  <tableColumns count="6">
    <tableColumn id="1" name="Mode" dataDxfId="57"/>
    <tableColumn id="2" name="Session" dataDxfId="58"/>
    <tableColumn id="3" name="Duration" dataDxfId="59"/>
    <tableColumn id="4" name="Content" dataDxfId="60"/>
    <tableColumn id="5" name="Required output" dataDxfId="61"/>
    <tableColumn id="6" name="When" dataDxfId="62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RulesTable" displayName="RulesTable" ref="A18:B23" totalsRowShown="0">
  <autoFilter xmlns:etc="http://www.wps.cn/officeDocument/2017/etCustomData" ref="A18:B23" etc:filterBottomFollowUsedRange="0"/>
  <tableColumns count="2">
    <tableColumn id="1" name="Rule" dataDxfId="63"/>
    <tableColumn id="2" name="Meaning" dataDxfId="64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SourcesTable" displayName="SourcesTable" ref="A3:D11" totalsRowShown="0">
  <autoFilter xmlns:etc="http://www.wps.cn/officeDocument/2017/etCustomData" ref="A3:D11" etc:filterBottomFollowUsedRange="0"/>
  <tableColumns count="4">
    <tableColumn id="1" name="Name" dataDxfId="65"/>
    <tableColumn id="2" name="Type" dataDxfId="66"/>
    <tableColumn id="3" name="Location / URL" dataDxfId="67"/>
    <tableColumn id="4" name="Use" dataDxfId="68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99" Type="http://schemas.openxmlformats.org/officeDocument/2006/relationships/hyperlink" Target="https://oj.vnoi.info/problem/icpc25_regional_h" TargetMode="External"/><Relationship Id="rId98" Type="http://schemas.openxmlformats.org/officeDocument/2006/relationships/hyperlink" Target="https://cses.fi/problemset/task/2088" TargetMode="External"/><Relationship Id="rId97" Type="http://schemas.openxmlformats.org/officeDocument/2006/relationships/hyperlink" Target="https://cses.fi/problemset/task/2087" TargetMode="External"/><Relationship Id="rId96" Type="http://schemas.openxmlformats.org/officeDocument/2006/relationships/hyperlink" Target="https://atcoder.jp/contests/dp/tasks/dp_y" TargetMode="External"/><Relationship Id="rId95" Type="http://schemas.openxmlformats.org/officeDocument/2006/relationships/hyperlink" Target="https://atcoder.jp/contests/dp/tasks/dp_z" TargetMode="External"/><Relationship Id="rId94" Type="http://schemas.openxmlformats.org/officeDocument/2006/relationships/hyperlink" Target="https://atcoder.jp/contests/dp/tasks/dp_w" TargetMode="External"/><Relationship Id="rId93" Type="http://schemas.openxmlformats.org/officeDocument/2006/relationships/hyperlink" Target="https://atcoder.jp/contests/dp/tasks/dp_j" TargetMode="External"/><Relationship Id="rId92" Type="http://schemas.openxmlformats.org/officeDocument/2006/relationships/hyperlink" Target="https://atcoder.jp/contests/dp/tasks/dp_v" TargetMode="External"/><Relationship Id="rId91" Type="http://schemas.openxmlformats.org/officeDocument/2006/relationships/hyperlink" Target="https://atcoder.jp/contests/dp/tasks/dp_u" TargetMode="External"/><Relationship Id="rId90" Type="http://schemas.openxmlformats.org/officeDocument/2006/relationships/hyperlink" Target="https://atcoder.jp/contests/dp/tasks/dp_o" TargetMode="External"/><Relationship Id="rId9" Type="http://schemas.openxmlformats.org/officeDocument/2006/relationships/hyperlink" Target="https://cses.fi/problemset/task/1163" TargetMode="External"/><Relationship Id="rId89" Type="http://schemas.openxmlformats.org/officeDocument/2006/relationships/hyperlink" Target="https://cses.fi/problemset/task/1748" TargetMode="External"/><Relationship Id="rId88" Type="http://schemas.openxmlformats.org/officeDocument/2006/relationships/hyperlink" Target="https://cses.fi/problemset/task/1690" TargetMode="External"/><Relationship Id="rId87" Type="http://schemas.openxmlformats.org/officeDocument/2006/relationships/hyperlink" Target="https://cses.fi/problemset/task/2220" TargetMode="External"/><Relationship Id="rId86" Type="http://schemas.openxmlformats.org/officeDocument/2006/relationships/hyperlink" Target="https://cses.fi/problemset/task/2181" TargetMode="External"/><Relationship Id="rId85" Type="http://schemas.openxmlformats.org/officeDocument/2006/relationships/hyperlink" Target="https://cses.fi/problemset/task/1653" TargetMode="External"/><Relationship Id="rId84" Type="http://schemas.openxmlformats.org/officeDocument/2006/relationships/hyperlink" Target="https://cses.fi/problemset/task/1097" TargetMode="External"/><Relationship Id="rId83" Type="http://schemas.openxmlformats.org/officeDocument/2006/relationships/hyperlink" Target="https://cses.fi/problemset/task/1140" TargetMode="External"/><Relationship Id="rId82" Type="http://schemas.openxmlformats.org/officeDocument/2006/relationships/hyperlink" Target="https://oj.uz/problem/view/IOI16_shortcut" TargetMode="External"/><Relationship Id="rId81" Type="http://schemas.openxmlformats.org/officeDocument/2006/relationships/hyperlink" Target="https://oj.uz/problem/view/CEOI19_magictree" TargetMode="External"/><Relationship Id="rId80" Type="http://schemas.openxmlformats.org/officeDocument/2006/relationships/hyperlink" Target="https://oj.uz/problem/view/IOI11_race" TargetMode="External"/><Relationship Id="rId8" Type="http://schemas.openxmlformats.org/officeDocument/2006/relationships/hyperlink" Target="https://cses.fi/problemset/task/2217" TargetMode="External"/><Relationship Id="rId79" Type="http://schemas.openxmlformats.org/officeDocument/2006/relationships/hyperlink" Target="https://oj.vnoi.info/problem/icpc21_regional_a" TargetMode="External"/><Relationship Id="rId78" Type="http://schemas.openxmlformats.org/officeDocument/2006/relationships/hyperlink" Target="https://oj.vnoi.info/problem/icpc22_regional_k" TargetMode="External"/><Relationship Id="rId77" Type="http://schemas.openxmlformats.org/officeDocument/2006/relationships/hyperlink" Target="https://codeforces.com/problemset/problem/613/D" TargetMode="External"/><Relationship Id="rId76" Type="http://schemas.openxmlformats.org/officeDocument/2006/relationships/hyperlink" Target="https://codeforces.com/problemset/problem/342/E" TargetMode="External"/><Relationship Id="rId75" Type="http://schemas.openxmlformats.org/officeDocument/2006/relationships/hyperlink" Target="https://www.spoj.com/problems/QTREE/" TargetMode="External"/><Relationship Id="rId74" Type="http://schemas.openxmlformats.org/officeDocument/2006/relationships/hyperlink" Target="https://codeforces.com/problemset/problem/191/C" TargetMode="External"/><Relationship Id="rId73" Type="http://schemas.openxmlformats.org/officeDocument/2006/relationships/hyperlink" Target="https://codeforces.com/problemset/problem/375/D" TargetMode="External"/><Relationship Id="rId72" Type="http://schemas.openxmlformats.org/officeDocument/2006/relationships/hyperlink" Target="https://codeforces.com/problemset/problem/600/E" TargetMode="External"/><Relationship Id="rId71" Type="http://schemas.openxmlformats.org/officeDocument/2006/relationships/hyperlink" Target="https://cses.fi/problemset/task/2081" TargetMode="External"/><Relationship Id="rId70" Type="http://schemas.openxmlformats.org/officeDocument/2006/relationships/hyperlink" Target="https://cses.fi/problemset/task/2080" TargetMode="External"/><Relationship Id="rId7" Type="http://schemas.openxmlformats.org/officeDocument/2006/relationships/hyperlink" Target="https://cses.fi/problemset/task/1085" TargetMode="External"/><Relationship Id="rId69" Type="http://schemas.openxmlformats.org/officeDocument/2006/relationships/hyperlink" Target="https://cses.fi/problemset/task/2134" TargetMode="External"/><Relationship Id="rId68" Type="http://schemas.openxmlformats.org/officeDocument/2006/relationships/hyperlink" Target="https://cses.fi/problemset/task/1133" TargetMode="External"/><Relationship Id="rId67" Type="http://schemas.openxmlformats.org/officeDocument/2006/relationships/hyperlink" Target="https://cses.fi/problemset/task/1138" TargetMode="External"/><Relationship Id="rId66" Type="http://schemas.openxmlformats.org/officeDocument/2006/relationships/hyperlink" Target="https://cses.fi/problemset/task/1136" TargetMode="External"/><Relationship Id="rId65" Type="http://schemas.openxmlformats.org/officeDocument/2006/relationships/hyperlink" Target="https://cses.fi/problemset/task/1135" TargetMode="External"/><Relationship Id="rId64" Type="http://schemas.openxmlformats.org/officeDocument/2006/relationships/hyperlink" Target="https://cses.fi/problemset/task/1688" TargetMode="External"/><Relationship Id="rId63" Type="http://schemas.openxmlformats.org/officeDocument/2006/relationships/hyperlink" Target="https://oj.uz/problem/view/IOI18_seats" TargetMode="External"/><Relationship Id="rId62" Type="http://schemas.openxmlformats.org/officeDocument/2006/relationships/hyperlink" Target="https://oj.uz/problem/view/IOI13_game" TargetMode="External"/><Relationship Id="rId61" Type="http://schemas.openxmlformats.org/officeDocument/2006/relationships/hyperlink" Target="https://oj.uz/problem/view/IOI14_wall" TargetMode="External"/><Relationship Id="rId60" Type="http://schemas.openxmlformats.org/officeDocument/2006/relationships/hyperlink" Target="https://oj.vnoi.info/problem/icpc25_regional_i" TargetMode="External"/><Relationship Id="rId6" Type="http://schemas.openxmlformats.org/officeDocument/2006/relationships/hyperlink" Target="https://cses.fi/problemset/task/1632" TargetMode="External"/><Relationship Id="rId59" Type="http://schemas.openxmlformats.org/officeDocument/2006/relationships/hyperlink" Target="https://oj.vnoi.info/problem/icpc25_regional_c" TargetMode="External"/><Relationship Id="rId58" Type="http://schemas.openxmlformats.org/officeDocument/2006/relationships/hyperlink" Target="https://oj.vnoi.info/problem/icpc21_regional_k" TargetMode="External"/><Relationship Id="rId57" Type="http://schemas.openxmlformats.org/officeDocument/2006/relationships/hyperlink" Target="https://www.spoj.com/problems/COT/" TargetMode="External"/><Relationship Id="rId56" Type="http://schemas.openxmlformats.org/officeDocument/2006/relationships/hyperlink" Target="https://www.spoj.com/problems/METEORS/" TargetMode="External"/><Relationship Id="rId55" Type="http://schemas.openxmlformats.org/officeDocument/2006/relationships/hyperlink" Target="https://cses.fi/problemset/task/2133" TargetMode="External"/><Relationship Id="rId54" Type="http://schemas.openxmlformats.org/officeDocument/2006/relationships/hyperlink" Target="https://cses.fi/problemset/task/1737" TargetMode="External"/><Relationship Id="rId53" Type="http://schemas.openxmlformats.org/officeDocument/2006/relationships/hyperlink" Target="https://codeforces.com/problemset/problem/220/B" TargetMode="External"/><Relationship Id="rId52" Type="http://schemas.openxmlformats.org/officeDocument/2006/relationships/hyperlink" Target="https://codeforces.com/problemset/problem/86/D" TargetMode="External"/><Relationship Id="rId51" Type="http://schemas.openxmlformats.org/officeDocument/2006/relationships/hyperlink" Target="https://codeforces.com/problemset/problem/242/E" TargetMode="External"/><Relationship Id="rId50" Type="http://schemas.openxmlformats.org/officeDocument/2006/relationships/hyperlink" Target="https://codeforces.com/problemset/problem/438/D" TargetMode="External"/><Relationship Id="rId5" Type="http://schemas.openxmlformats.org/officeDocument/2006/relationships/hyperlink" Target="https://cses.fi/problemset/task/1642" TargetMode="External"/><Relationship Id="rId49" Type="http://schemas.openxmlformats.org/officeDocument/2006/relationships/hyperlink" Target="https://www.spoj.com/problems/ORDERSET/" TargetMode="External"/><Relationship Id="rId48" Type="http://schemas.openxmlformats.org/officeDocument/2006/relationships/hyperlink" Target="https://www.spoj.com/problems/GSS3/" TargetMode="External"/><Relationship Id="rId47" Type="http://schemas.openxmlformats.org/officeDocument/2006/relationships/hyperlink" Target="https://cses.fi/problemset/task/1647" TargetMode="External"/><Relationship Id="rId46" Type="http://schemas.openxmlformats.org/officeDocument/2006/relationships/hyperlink" Target="https://cses.fi/problemset/task/1076" TargetMode="External"/><Relationship Id="rId45" Type="http://schemas.openxmlformats.org/officeDocument/2006/relationships/hyperlink" Target="https://cses.fi/problemset/task/1144" TargetMode="External"/><Relationship Id="rId44" Type="http://schemas.openxmlformats.org/officeDocument/2006/relationships/hyperlink" Target="https://cses.fi/problemset/task/1735" TargetMode="External"/><Relationship Id="rId43" Type="http://schemas.openxmlformats.org/officeDocument/2006/relationships/hyperlink" Target="https://cses.fi/problemset/task/1651" TargetMode="External"/><Relationship Id="rId42" Type="http://schemas.openxmlformats.org/officeDocument/2006/relationships/hyperlink" Target="https://oj.uz/problem/view/IOI11_crocodile" TargetMode="External"/><Relationship Id="rId41" Type="http://schemas.openxmlformats.org/officeDocument/2006/relationships/hyperlink" Target="https://oj.vnoi.info/problem/icpc25_regional_j" TargetMode="External"/><Relationship Id="rId40" Type="http://schemas.openxmlformats.org/officeDocument/2006/relationships/hyperlink" Target="https://oj.uz/problem/view/CEOI17_oneway" TargetMode="External"/><Relationship Id="rId4" Type="http://schemas.openxmlformats.org/officeDocument/2006/relationships/hyperlink" Target="https://cses.fi/problemset/task/1644" TargetMode="External"/><Relationship Id="rId39" Type="http://schemas.openxmlformats.org/officeDocument/2006/relationships/hyperlink" Target="https://oj.uz/problem/view/JOI18_commuter_pass" TargetMode="External"/><Relationship Id="rId38" Type="http://schemas.openxmlformats.org/officeDocument/2006/relationships/hyperlink" Target="https://oj.vnoi.info/problem/icpc25_regional_m" TargetMode="External"/><Relationship Id="rId37" Type="http://schemas.openxmlformats.org/officeDocument/2006/relationships/hyperlink" Target="https://cses.fi/problemset/task/2138" TargetMode="External"/><Relationship Id="rId36" Type="http://schemas.openxmlformats.org/officeDocument/2006/relationships/hyperlink" Target="https://codeforces.com/problemset/problem/487/E" TargetMode="External"/><Relationship Id="rId35" Type="http://schemas.openxmlformats.org/officeDocument/2006/relationships/hyperlink" Target="https://cses.fi/problemset/task/2129" TargetMode="External"/><Relationship Id="rId34" Type="http://schemas.openxmlformats.org/officeDocument/2006/relationships/hyperlink" Target="https://codeforces.com/problemset/problem/653/D" TargetMode="External"/><Relationship Id="rId33" Type="http://schemas.openxmlformats.org/officeDocument/2006/relationships/hyperlink" Target="https://codeforces.com/problemset/problem/786/B" TargetMode="External"/><Relationship Id="rId32" Type="http://schemas.openxmlformats.org/officeDocument/2006/relationships/hyperlink" Target="https://cses.fi/problemset/task/1160" TargetMode="External"/><Relationship Id="rId31" Type="http://schemas.openxmlformats.org/officeDocument/2006/relationships/hyperlink" Target="https://cses.fi/problemset/task/1693" TargetMode="External"/><Relationship Id="rId30" Type="http://schemas.openxmlformats.org/officeDocument/2006/relationships/hyperlink" Target="https://cses.fi/problemset/task/1691" TargetMode="External"/><Relationship Id="rId3" Type="http://schemas.openxmlformats.org/officeDocument/2006/relationships/hyperlink" Target="https://cses.fi/problemset/task/1620" TargetMode="External"/><Relationship Id="rId29" Type="http://schemas.openxmlformats.org/officeDocument/2006/relationships/hyperlink" Target="https://cses.fi/problemset/task/1711" TargetMode="External"/><Relationship Id="rId28" Type="http://schemas.openxmlformats.org/officeDocument/2006/relationships/hyperlink" Target="https://cses.fi/problemset/task/1696" TargetMode="External"/><Relationship Id="rId27" Type="http://schemas.openxmlformats.org/officeDocument/2006/relationships/hyperlink" Target="https://cses.fi/problemset/task/1695" TargetMode="External"/><Relationship Id="rId26" Type="http://schemas.openxmlformats.org/officeDocument/2006/relationships/hyperlink" Target="https://cses.fi/problemset/task/1694" TargetMode="External"/><Relationship Id="rId25" Type="http://schemas.openxmlformats.org/officeDocument/2006/relationships/hyperlink" Target="https://cses.fi/problemset/task/2077" TargetMode="External"/><Relationship Id="rId24" Type="http://schemas.openxmlformats.org/officeDocument/2006/relationships/hyperlink" Target="https://cses.fi/problemset/task/2076" TargetMode="External"/><Relationship Id="rId23" Type="http://schemas.openxmlformats.org/officeDocument/2006/relationships/hyperlink" Target="https://cses.fi/problemset/task/1675" TargetMode="External"/><Relationship Id="rId22" Type="http://schemas.openxmlformats.org/officeDocument/2006/relationships/hyperlink" Target="https://cses.fi/problemset/task/1684" TargetMode="External"/><Relationship Id="rId21" Type="http://schemas.openxmlformats.org/officeDocument/2006/relationships/hyperlink" Target="https://cses.fi/problemset/task/1686" TargetMode="External"/><Relationship Id="rId20" Type="http://schemas.openxmlformats.org/officeDocument/2006/relationships/hyperlink" Target="https://cses.fi/problemset/task/1202" TargetMode="External"/><Relationship Id="rId2" Type="http://schemas.openxmlformats.org/officeDocument/2006/relationships/hyperlink" Target="https://cses.fi/problemset/task/1084" TargetMode="External"/><Relationship Id="rId19" Type="http://schemas.openxmlformats.org/officeDocument/2006/relationships/hyperlink" Target="https://cses.fi/problemset/task/1195" TargetMode="External"/><Relationship Id="rId18" Type="http://schemas.openxmlformats.org/officeDocument/2006/relationships/hyperlink" Target="https://oj.uz/problem/view/IOI13_robots" TargetMode="External"/><Relationship Id="rId177" Type="http://schemas.openxmlformats.org/officeDocument/2006/relationships/hyperlink" Target="https://oj.uz/problem/view/CEOI16_kangaroo" TargetMode="External"/><Relationship Id="rId176" Type="http://schemas.openxmlformats.org/officeDocument/2006/relationships/hyperlink" Target="https://oj.vnoi.info/problem/icpc24_regional_e" TargetMode="External"/><Relationship Id="rId175" Type="http://schemas.openxmlformats.org/officeDocument/2006/relationships/hyperlink" Target="https://oj.vnoi.info/problem/icpc23_regional_d" TargetMode="External"/><Relationship Id="rId174" Type="http://schemas.openxmlformats.org/officeDocument/2006/relationships/hyperlink" Target="https://oj.vnoi.info/problem/icpc24_regional_f" TargetMode="External"/><Relationship Id="rId173" Type="http://schemas.openxmlformats.org/officeDocument/2006/relationships/hyperlink" Target="https://codeforces.com/problemset/problem/1191/D" TargetMode="External"/><Relationship Id="rId172" Type="http://schemas.openxmlformats.org/officeDocument/2006/relationships/hyperlink" Target="https://codeforces.com/problemset/problem/1363/C" TargetMode="External"/><Relationship Id="rId171" Type="http://schemas.openxmlformats.org/officeDocument/2006/relationships/hyperlink" Target="https://codeforces.com/problemset/problem/1370/C" TargetMode="External"/><Relationship Id="rId170" Type="http://schemas.openxmlformats.org/officeDocument/2006/relationships/hyperlink" Target="https://cses.fi/problemset/task/2207" TargetMode="External"/><Relationship Id="rId17" Type="http://schemas.openxmlformats.org/officeDocument/2006/relationships/hyperlink" Target="https://oj.vnoi.info/problem/icpc25_regional_d" TargetMode="External"/><Relationship Id="rId169" Type="http://schemas.openxmlformats.org/officeDocument/2006/relationships/hyperlink" Target="https://cses.fi/problemset/task/1099" TargetMode="External"/><Relationship Id="rId168" Type="http://schemas.openxmlformats.org/officeDocument/2006/relationships/hyperlink" Target="https://cses.fi/problemset/task/1098" TargetMode="External"/><Relationship Id="rId167" Type="http://schemas.openxmlformats.org/officeDocument/2006/relationships/hyperlink" Target="https://cses.fi/problemset/task/1730" TargetMode="External"/><Relationship Id="rId166" Type="http://schemas.openxmlformats.org/officeDocument/2006/relationships/hyperlink" Target="https://cses.fi/problemset/task/1729" TargetMode="External"/><Relationship Id="rId165" Type="http://schemas.openxmlformats.org/officeDocument/2006/relationships/hyperlink" Target="https://cses.fi/problemset/task/1161" TargetMode="External"/><Relationship Id="rId164" Type="http://schemas.openxmlformats.org/officeDocument/2006/relationships/hyperlink" Target="https://cses.fi/problemset/task/1630" TargetMode="External"/><Relationship Id="rId163" Type="http://schemas.openxmlformats.org/officeDocument/2006/relationships/hyperlink" Target="https://cses.fi/problemset/task/2205" TargetMode="External"/><Relationship Id="rId162" Type="http://schemas.openxmlformats.org/officeDocument/2006/relationships/hyperlink" Target="https://cses.fi/problemset/task/1070" TargetMode="External"/><Relationship Id="rId161" Type="http://schemas.openxmlformats.org/officeDocument/2006/relationships/hyperlink" Target="https://oj.uz/problem/view/IOI19_line" TargetMode="External"/><Relationship Id="rId160" Type="http://schemas.openxmlformats.org/officeDocument/2006/relationships/hyperlink" Target="https://oj.uz/problem/view/IOI19_rect" TargetMode="External"/><Relationship Id="rId16" Type="http://schemas.openxmlformats.org/officeDocument/2006/relationships/hyperlink" Target="https://oj.vnoi.info/problem/icpc25_regional_e" TargetMode="External"/><Relationship Id="rId159" Type="http://schemas.openxmlformats.org/officeDocument/2006/relationships/hyperlink" Target="https://oj.vnoi.info/problem/icpc23_regional_a" TargetMode="External"/><Relationship Id="rId158" Type="http://schemas.openxmlformats.org/officeDocument/2006/relationships/hyperlink" Target="https://codeforces.com/problemset/problem/1/C" TargetMode="External"/><Relationship Id="rId157" Type="http://schemas.openxmlformats.org/officeDocument/2006/relationships/hyperlink" Target="https://open.kattis.com/problems/roberthood" TargetMode="External"/><Relationship Id="rId156" Type="http://schemas.openxmlformats.org/officeDocument/2006/relationships/hyperlink" Target="https://codeforces.com/problemset/problem/772/B" TargetMode="External"/><Relationship Id="rId155" Type="http://schemas.openxmlformats.org/officeDocument/2006/relationships/hyperlink" Target="https://codeforces.com/problemset/problem/166/B" TargetMode="External"/><Relationship Id="rId154" Type="http://schemas.openxmlformats.org/officeDocument/2006/relationships/hyperlink" Target="https://codeforces.com/problemset/problem/598/C" TargetMode="External"/><Relationship Id="rId153" Type="http://schemas.openxmlformats.org/officeDocument/2006/relationships/hyperlink" Target="https://cses.fi/problemset/task/1741" TargetMode="External"/><Relationship Id="rId152" Type="http://schemas.openxmlformats.org/officeDocument/2006/relationships/hyperlink" Target="https://cses.fi/problemset/task/1740" TargetMode="External"/><Relationship Id="rId151" Type="http://schemas.openxmlformats.org/officeDocument/2006/relationships/hyperlink" Target="https://cses.fi/problemset/task/2195" TargetMode="External"/><Relationship Id="rId150" Type="http://schemas.openxmlformats.org/officeDocument/2006/relationships/hyperlink" Target="https://cses.fi/problemset/task/2194" TargetMode="External"/><Relationship Id="rId15" Type="http://schemas.openxmlformats.org/officeDocument/2006/relationships/hyperlink" Target="https://oj.vnoi.info/problem/icpc25_regional_a" TargetMode="External"/><Relationship Id="rId149" Type="http://schemas.openxmlformats.org/officeDocument/2006/relationships/hyperlink" Target="https://cses.fi/problemset/task/2193" TargetMode="External"/><Relationship Id="rId148" Type="http://schemas.openxmlformats.org/officeDocument/2006/relationships/hyperlink" Target="https://cses.fi/problemset/task/2192" TargetMode="External"/><Relationship Id="rId147" Type="http://schemas.openxmlformats.org/officeDocument/2006/relationships/hyperlink" Target="https://cses.fi/problemset/task/2191" TargetMode="External"/><Relationship Id="rId146" Type="http://schemas.openxmlformats.org/officeDocument/2006/relationships/hyperlink" Target="https://cses.fi/problemset/task/2190" TargetMode="External"/><Relationship Id="rId145" Type="http://schemas.openxmlformats.org/officeDocument/2006/relationships/hyperlink" Target="https://cses.fi/problemset/task/2189" TargetMode="External"/><Relationship Id="rId144" Type="http://schemas.openxmlformats.org/officeDocument/2006/relationships/hyperlink" Target="https://oj.uz/problem/view/CEOI17_palindromic" TargetMode="External"/><Relationship Id="rId143" Type="http://schemas.openxmlformats.org/officeDocument/2006/relationships/hyperlink" Target="https://oj.uz/problem/view/JOI14_joioji" TargetMode="External"/><Relationship Id="rId142" Type="http://schemas.openxmlformats.org/officeDocument/2006/relationships/hyperlink" Target="https://oj.vnoi.info/problem/icpc23_regional_f" TargetMode="External"/><Relationship Id="rId141" Type="http://schemas.openxmlformats.org/officeDocument/2006/relationships/hyperlink" Target="https://oj.vnoi.info/problem/icpc24_regional_h" TargetMode="External"/><Relationship Id="rId140" Type="http://schemas.openxmlformats.org/officeDocument/2006/relationships/hyperlink" Target="https://cses.fi/problemset/task/2109" TargetMode="External"/><Relationship Id="rId14" Type="http://schemas.openxmlformats.org/officeDocument/2006/relationships/hyperlink" Target="https://oj.vnoi.info/problem/icpc25_regional_k" TargetMode="External"/><Relationship Id="rId139" Type="http://schemas.openxmlformats.org/officeDocument/2006/relationships/hyperlink" Target="https://cses.fi/problemset/task/1112" TargetMode="External"/><Relationship Id="rId138" Type="http://schemas.openxmlformats.org/officeDocument/2006/relationships/hyperlink" Target="https://cses.fi/problemset/task/1111" TargetMode="External"/><Relationship Id="rId137" Type="http://schemas.openxmlformats.org/officeDocument/2006/relationships/hyperlink" Target="https://codeforces.com/problemset/problem/1200/E" TargetMode="External"/><Relationship Id="rId136" Type="http://schemas.openxmlformats.org/officeDocument/2006/relationships/hyperlink" Target="https://cses.fi/problemset/task/2107" TargetMode="External"/><Relationship Id="rId135" Type="http://schemas.openxmlformats.org/officeDocument/2006/relationships/hyperlink" Target="https://cses.fi/problemset/task/2106" TargetMode="External"/><Relationship Id="rId134" Type="http://schemas.openxmlformats.org/officeDocument/2006/relationships/hyperlink" Target="https://cses.fi/problemset/task/2105" TargetMode="External"/><Relationship Id="rId133" Type="http://schemas.openxmlformats.org/officeDocument/2006/relationships/hyperlink" Target="https://cses.fi/problemset/task/2104" TargetMode="External"/><Relationship Id="rId132" Type="http://schemas.openxmlformats.org/officeDocument/2006/relationships/hyperlink" Target="https://cses.fi/problemset/task/2103" TargetMode="External"/><Relationship Id="rId131" Type="http://schemas.openxmlformats.org/officeDocument/2006/relationships/hyperlink" Target="https://cses.fi/problemset/task/2102" TargetMode="External"/><Relationship Id="rId130" Type="http://schemas.openxmlformats.org/officeDocument/2006/relationships/hyperlink" Target="https://cses.fi/problemset/task/1731" TargetMode="External"/><Relationship Id="rId13" Type="http://schemas.openxmlformats.org/officeDocument/2006/relationships/hyperlink" Target="https://codeforces.com/problemset/problem/1382/C2" TargetMode="External"/><Relationship Id="rId129" Type="http://schemas.openxmlformats.org/officeDocument/2006/relationships/hyperlink" Target="https://cses.fi/problemset/task/1110" TargetMode="External"/><Relationship Id="rId128" Type="http://schemas.openxmlformats.org/officeDocument/2006/relationships/hyperlink" Target="https://cses.fi/problemset/task/1733" TargetMode="External"/><Relationship Id="rId127" Type="http://schemas.openxmlformats.org/officeDocument/2006/relationships/hyperlink" Target="https://cses.fi/problemset/task/1732" TargetMode="External"/><Relationship Id="rId126" Type="http://schemas.openxmlformats.org/officeDocument/2006/relationships/hyperlink" Target="https://cses.fi/problemset/task/1753" TargetMode="External"/><Relationship Id="rId125" Type="http://schemas.openxmlformats.org/officeDocument/2006/relationships/hyperlink" Target="https://oj.uz/problem/view/CEOI20_fancyfence" TargetMode="External"/><Relationship Id="rId124" Type="http://schemas.openxmlformats.org/officeDocument/2006/relationships/hyperlink" Target="https://oj.vnoi.info/problem/icpc25_regional_g" TargetMode="External"/><Relationship Id="rId123" Type="http://schemas.openxmlformats.org/officeDocument/2006/relationships/hyperlink" Target="https://oj.vnoi.info/problem/icpc22_regional_m" TargetMode="External"/><Relationship Id="rId122" Type="http://schemas.openxmlformats.org/officeDocument/2006/relationships/hyperlink" Target="https://oj.vnoi.info/problem/icpc23_national_i" TargetMode="External"/><Relationship Id="rId121" Type="http://schemas.openxmlformats.org/officeDocument/2006/relationships/hyperlink" Target="https://oj.vnoi.info/problem/icpc25_national_e" TargetMode="External"/><Relationship Id="rId120" Type="http://schemas.openxmlformats.org/officeDocument/2006/relationships/hyperlink" Target="https://codeforces.com/problemset/problem/1100/F" TargetMode="External"/><Relationship Id="rId12" Type="http://schemas.openxmlformats.org/officeDocument/2006/relationships/hyperlink" Target="https://cses.fi/problemset/task/1628" TargetMode="External"/><Relationship Id="rId119" Type="http://schemas.openxmlformats.org/officeDocument/2006/relationships/hyperlink" Target="https://codeforces.com/problemset/problem/895/C" TargetMode="External"/><Relationship Id="rId118" Type="http://schemas.openxmlformats.org/officeDocument/2006/relationships/hyperlink" Target="https://cses.fi/problemset/task/3154" TargetMode="External"/><Relationship Id="rId117" Type="http://schemas.openxmlformats.org/officeDocument/2006/relationships/hyperlink" Target="https://judge.yosupo.jp/problem/sum_of_floor_of_linear" TargetMode="External"/><Relationship Id="rId116" Type="http://schemas.openxmlformats.org/officeDocument/2006/relationships/hyperlink" Target="https://atcoder.jp/contests/practice2/tasks/practice2_f" TargetMode="External"/><Relationship Id="rId115" Type="http://schemas.openxmlformats.org/officeDocument/2006/relationships/hyperlink" Target="https://cses.fi/problemset/task/2209" TargetMode="External"/><Relationship Id="rId114" Type="http://schemas.openxmlformats.org/officeDocument/2006/relationships/hyperlink" Target="https://cses.fi/problemset/task/2417" TargetMode="External"/><Relationship Id="rId113" Type="http://schemas.openxmlformats.org/officeDocument/2006/relationships/hyperlink" Target="https://atcoder.jp/contests/dp/tasks/dp_r" TargetMode="External"/><Relationship Id="rId112" Type="http://schemas.openxmlformats.org/officeDocument/2006/relationships/hyperlink" Target="https://cses.fi/problemset/task/2187" TargetMode="External"/><Relationship Id="rId111" Type="http://schemas.openxmlformats.org/officeDocument/2006/relationships/hyperlink" Target="https://cses.fi/problemset/task/1082" TargetMode="External"/><Relationship Id="rId110" Type="http://schemas.openxmlformats.org/officeDocument/2006/relationships/hyperlink" Target="https://cses.fi/problemset/task/2182" TargetMode="External"/><Relationship Id="rId11" Type="http://schemas.openxmlformats.org/officeDocument/2006/relationships/hyperlink" Target="https://cses.fi/problemset/task/1077" TargetMode="External"/><Relationship Id="rId109" Type="http://schemas.openxmlformats.org/officeDocument/2006/relationships/hyperlink" Target="https://open.kattis.com/problems/chineseremainder" TargetMode="External"/><Relationship Id="rId108" Type="http://schemas.openxmlformats.org/officeDocument/2006/relationships/hyperlink" Target="https://cses.fi/problemset/task/2185" TargetMode="External"/><Relationship Id="rId107" Type="http://schemas.openxmlformats.org/officeDocument/2006/relationships/hyperlink" Target="https://cses.fi/problemset/task/1717" TargetMode="External"/><Relationship Id="rId106" Type="http://schemas.openxmlformats.org/officeDocument/2006/relationships/hyperlink" Target="https://cses.fi/problemset/task/1079" TargetMode="External"/><Relationship Id="rId105" Type="http://schemas.openxmlformats.org/officeDocument/2006/relationships/hyperlink" Target="https://cses.fi/problemset/task/1081" TargetMode="External"/><Relationship Id="rId104" Type="http://schemas.openxmlformats.org/officeDocument/2006/relationships/hyperlink" Target="https://cses.fi/problemset/task/1713" TargetMode="External"/><Relationship Id="rId103" Type="http://schemas.openxmlformats.org/officeDocument/2006/relationships/hyperlink" Target="https://oj.uz/problem/view/IOI14_holiday" TargetMode="External"/><Relationship Id="rId102" Type="http://schemas.openxmlformats.org/officeDocument/2006/relationships/hyperlink" Target="https://oj.uz/problem/view/IOI17_wiring" TargetMode="External"/><Relationship Id="rId101" Type="http://schemas.openxmlformats.org/officeDocument/2006/relationships/hyperlink" Target="https://oj.uz/problem/view/IOI16_aliens" TargetMode="External"/><Relationship Id="rId100" Type="http://schemas.openxmlformats.org/officeDocument/2006/relationships/hyperlink" Target="https://oj.vnoi.info/problem/icpc25_regional_f" TargetMode="External"/><Relationship Id="rId10" Type="http://schemas.openxmlformats.org/officeDocument/2006/relationships/hyperlink" Target="https://cses.fi/problemset/task/2169" TargetMode="Externa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hyperlink" Target="https://oj.vnoi.info/contest/icpc25_national" TargetMode="External"/><Relationship Id="rId8" Type="http://schemas.openxmlformats.org/officeDocument/2006/relationships/hyperlink" Target="https://oj.vnoi.info/contest/icpc24_national" TargetMode="External"/><Relationship Id="rId7" Type="http://schemas.openxmlformats.org/officeDocument/2006/relationships/hyperlink" Target="https://oj.vnoi.info/contest/icpc23_national" TargetMode="External"/><Relationship Id="rId6" Type="http://schemas.openxmlformats.org/officeDocument/2006/relationships/hyperlink" Target="https://oj.vnoi.info/contest/icpc22_national" TargetMode="External"/><Relationship Id="rId5" Type="http://schemas.openxmlformats.org/officeDocument/2006/relationships/hyperlink" Target="https://oj.vnoi.info/contest/icpc21_national" TargetMode="External"/><Relationship Id="rId4" Type="http://schemas.openxmlformats.org/officeDocument/2006/relationships/hyperlink" Target="https://oj.vnoi.info/contest/icpc25_mn" TargetMode="External"/><Relationship Id="rId3" Type="http://schemas.openxmlformats.org/officeDocument/2006/relationships/hyperlink" Target="https://oj.vnoi.info/contest/icpc24_mn" TargetMode="External"/><Relationship Id="rId2" Type="http://schemas.openxmlformats.org/officeDocument/2006/relationships/hyperlink" Target="https://oj.vnoi.info/contest/icpc23_mn" TargetMode="External"/><Relationship Id="rId17" Type="http://schemas.openxmlformats.org/officeDocument/2006/relationships/hyperlink" Target="https://apac.icpc.global/assets/championship/2026/problemset.pdf" TargetMode="External"/><Relationship Id="rId16" Type="http://schemas.openxmlformats.org/officeDocument/2006/relationships/hyperlink" Target="https://fileserv.icpc.jp/championship2025/problemset.pdf" TargetMode="External"/><Relationship Id="rId15" Type="http://schemas.openxmlformats.org/officeDocument/2006/relationships/hyperlink" Target="https://fileserv.icpc.jp/championship2024/tasks.pdf" TargetMode="External"/><Relationship Id="rId14" Type="http://schemas.openxmlformats.org/officeDocument/2006/relationships/hyperlink" Target="https://oj.vnoi.info/contest/icpc25_regional" TargetMode="External"/><Relationship Id="rId13" Type="http://schemas.openxmlformats.org/officeDocument/2006/relationships/hyperlink" Target="https://oj.vnoi.info/contest/icpc24_regional" TargetMode="External"/><Relationship Id="rId12" Type="http://schemas.openxmlformats.org/officeDocument/2006/relationships/hyperlink" Target="https://oj.vnoi.info/contest/icpc23_regional" TargetMode="External"/><Relationship Id="rId11" Type="http://schemas.openxmlformats.org/officeDocument/2006/relationships/hyperlink" Target="https://oj.vnoi.info/contest/icpc22_regional" TargetMode="External"/><Relationship Id="rId10" Type="http://schemas.openxmlformats.org/officeDocument/2006/relationships/hyperlink" Target="https://oj.vnoi.info/contest/icpc21_regional_m" TargetMode="Externa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6" Type="http://schemas.openxmlformats.org/officeDocument/2006/relationships/hyperlink" Target="https://apac.icpc.global/assets/championship/2026/problemset.pdf" TargetMode="External"/><Relationship Id="rId5" Type="http://schemas.openxmlformats.org/officeDocument/2006/relationships/hyperlink" Target="https://fileserv.icpc.jp/championship2025/problemset.pdf" TargetMode="External"/><Relationship Id="rId4" Type="http://schemas.openxmlformats.org/officeDocument/2006/relationships/hyperlink" Target="https://fileserv.icpc.jp/championship2024/tasks.pdf" TargetMode="External"/><Relationship Id="rId3" Type="http://schemas.openxmlformats.org/officeDocument/2006/relationships/hyperlink" Target="https://oj.vnoi.info/" TargetMode="External"/><Relationship Id="rId2" Type="http://schemas.openxmlformats.org/officeDocument/2006/relationships/hyperlink" Target="https://www.olp.vn/tin-t%E1%BB%A9c/olympic-icpc/th%C3%B4ng-b%C3%A1o" TargetMode="Externa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7"/>
  <sheetViews>
    <sheetView showGridLines="0" tabSelected="1" zoomScale="90" zoomScaleNormal="90" workbookViewId="0">
      <selection activeCell="A1" sqref="A1:J2"/>
    </sheetView>
  </sheetViews>
  <sheetFormatPr defaultColWidth="8.88888888888889" defaultRowHeight="13.2"/>
  <cols>
    <col min="1" max="1" width="32.7777777777778" style="1" customWidth="1"/>
    <col min="2" max="4" width="14.7777777777778" style="1" customWidth="1"/>
    <col min="5" max="5" width="18.7777777777778" style="1" customWidth="1"/>
    <col min="6" max="6" width="14.7777777777778" style="1" customWidth="1"/>
    <col min="7" max="7" width="23.7777777777778" style="1" customWidth="1"/>
    <col min="8" max="8" width="15.7777777777778" style="1" customWidth="1"/>
    <col min="9" max="10" width="14.7777777777778" style="1" customWidth="1"/>
    <col min="11" max="16384" width="8.88888888888889" style="1"/>
  </cols>
  <sheetData>
    <row r="1" ht="28" customHeight="1" spans="1:10">
      <c r="A1" s="20" t="s">
        <v>0</v>
      </c>
    </row>
    <row r="2" ht="28" customHeight="1"/>
    <row r="3" spans="1:10">
      <c r="A3" s="21" t="s">
        <v>1</v>
      </c>
    </row>
    <row r="5" ht="26.4" spans="1:10">
      <c r="A5" s="22" t="s">
        <v>2</v>
      </c>
      <c r="B5" s="22" t="s">
        <v>3</v>
      </c>
      <c r="C5" s="22" t="s">
        <v>4</v>
      </c>
      <c r="D5" s="22" t="s">
        <v>5</v>
      </c>
      <c r="E5" s="22" t="s">
        <v>6</v>
      </c>
      <c r="G5" s="23" t="s">
        <v>7</v>
      </c>
      <c r="H5" s="23" t="s">
        <v>8</v>
      </c>
    </row>
    <row r="6" ht="26.4" spans="1:10">
      <c r="A6" s="24" t="s">
        <v>9</v>
      </c>
      <c r="B6" s="25">
        <v>46312</v>
      </c>
      <c r="C6" s="24">
        <f ca="1">MAX(0,B6-TODAY())</f>
        <v>118</v>
      </c>
      <c r="D6" s="24" t="s">
        <v>10</v>
      </c>
      <c r="E6" s="24" t="s">
        <v>11</v>
      </c>
      <c r="G6" s="26" t="s">
        <v>12</v>
      </c>
      <c r="H6" s="27">
        <f>COUNTIF('Task Bank'!$F:$F,"AC")</f>
        <v>0</v>
      </c>
    </row>
    <row r="7" ht="26.4" spans="1:10">
      <c r="A7" s="24" t="s">
        <v>13</v>
      </c>
      <c r="B7" s="25">
        <v>46334</v>
      </c>
      <c r="C7" s="24">
        <f ca="1">MAX(0,B7-TODAY())</f>
        <v>140</v>
      </c>
      <c r="D7" s="24" t="s">
        <v>14</v>
      </c>
      <c r="E7" s="24" t="s">
        <v>11</v>
      </c>
      <c r="G7" s="26" t="s">
        <v>15</v>
      </c>
      <c r="H7" s="27">
        <f>COUNTA('Task Bank'!$A:$A)-1-COUNTIF('Task Bank'!$F:$F,"Reference")</f>
        <v>176</v>
      </c>
    </row>
    <row r="8" ht="26.4" spans="1:10">
      <c r="A8" s="24" t="s">
        <v>16</v>
      </c>
      <c r="B8" s="25">
        <v>46366</v>
      </c>
      <c r="C8" s="24">
        <f ca="1">MAX(0,B8-TODAY())</f>
        <v>172</v>
      </c>
      <c r="D8" s="24" t="s">
        <v>17</v>
      </c>
      <c r="E8" s="24" t="s">
        <v>11</v>
      </c>
      <c r="G8" s="26" t="s">
        <v>18</v>
      </c>
      <c r="H8" s="27">
        <f ca="1">COUNTIFS('Task Bank'!$F:$F,"Retry",'Task Bank'!$M:$M,"&lt;="&amp;TODAY())</f>
        <v>0</v>
      </c>
    </row>
    <row r="9" ht="26.4" spans="1:10">
      <c r="A9" s="24" t="s">
        <v>19</v>
      </c>
      <c r="B9" s="25">
        <v>46447</v>
      </c>
      <c r="C9" s="24">
        <f ca="1">MAX(0,B9-TODAY())</f>
        <v>253</v>
      </c>
      <c r="D9" s="24" t="s">
        <v>20</v>
      </c>
      <c r="E9" s="24" t="s">
        <v>21</v>
      </c>
      <c r="G9" s="26" t="s">
        <v>22</v>
      </c>
      <c r="H9" s="27">
        <f>COUNTIF('Virtual Log'!$F:$F,"Done")</f>
        <v>0</v>
      </c>
    </row>
    <row r="10" spans="1:10">
      <c r="G10" s="26" t="s">
        <v>23</v>
      </c>
      <c r="H10" s="27">
        <f>IFERROR(AVERAGEIF('Virtual Log'!$F:$F,"Done",'Virtual Log'!$G:$G),0)</f>
        <v>0</v>
      </c>
    </row>
    <row r="11" spans="1:10">
      <c r="G11" s="26" t="s">
        <v>24</v>
      </c>
      <c r="H11" s="27">
        <f>SUM('Weekly Plan'!$K:$K)</f>
        <v>0</v>
      </c>
    </row>
    <row r="13" spans="1:10">
      <c r="A13" s="28" t="s">
        <v>25</v>
      </c>
      <c r="B13" s="28" t="s">
        <v>26</v>
      </c>
      <c r="C13" s="28" t="s">
        <v>27</v>
      </c>
      <c r="D13" s="28" t="s">
        <v>28</v>
      </c>
      <c r="F13" s="22" t="s">
        <v>29</v>
      </c>
      <c r="G13" s="22"/>
      <c r="H13" s="22"/>
      <c r="I13" s="22"/>
      <c r="J13" s="22"/>
    </row>
    <row r="14" ht="27" customHeight="1" spans="1:10">
      <c r="A14" s="27" t="str">
        <f>'Topic Gates'!A2</f>
        <v>00 - Implementation, Greedy, Search</v>
      </c>
      <c r="B14" s="27" t="str">
        <f>'Topic Gates'!B2</f>
        <v>P0</v>
      </c>
      <c r="C14" s="27" t="str">
        <f>'Topic Gates'!H2</f>
        <v>0 / 16</v>
      </c>
      <c r="D14" s="29">
        <f>'Topic Gates'!I2</f>
        <v>0</v>
      </c>
      <c r="F14" s="30" t="s">
        <v>30</v>
      </c>
      <c r="G14" s="27"/>
      <c r="H14" s="27"/>
      <c r="I14" s="27"/>
      <c r="J14" s="27"/>
    </row>
    <row r="15" ht="27" customHeight="1" spans="1:10">
      <c r="A15" s="27" t="str">
        <f>'Topic Gates'!A3</f>
        <v>01 - Graph and Modeling</v>
      </c>
      <c r="B15" s="27" t="str">
        <f>'Topic Gates'!B3</f>
        <v>P0/P1</v>
      </c>
      <c r="C15" s="27" t="str">
        <f>'Topic Gates'!H3</f>
        <v>0 / 24</v>
      </c>
      <c r="D15" s="29">
        <f>'Topic Gates'!I3</f>
        <v>0</v>
      </c>
      <c r="F15" s="27"/>
      <c r="G15" s="27"/>
      <c r="H15" s="27"/>
      <c r="I15" s="27"/>
      <c r="J15" s="27"/>
    </row>
    <row r="16" ht="27" customHeight="1" spans="1:10">
      <c r="A16" s="27" t="str">
        <f>'Topic Gates'!A4</f>
        <v>02 - Data Structures</v>
      </c>
      <c r="B16" s="27" t="str">
        <f>'Topic Gates'!B4</f>
        <v>P0/P2</v>
      </c>
      <c r="C16" s="27" t="str">
        <f>'Topic Gates'!H4</f>
        <v>0 / 20</v>
      </c>
      <c r="D16" s="29">
        <f>'Topic Gates'!I4</f>
        <v>0</v>
      </c>
      <c r="F16" s="27"/>
      <c r="G16" s="27"/>
      <c r="H16" s="27"/>
      <c r="I16" s="27"/>
      <c r="J16" s="27"/>
    </row>
    <row r="17" ht="27" customHeight="1" spans="1:10">
      <c r="A17" s="27" t="str">
        <f>'Topic Gates'!A5</f>
        <v>03 - Tree</v>
      </c>
      <c r="B17" s="27" t="str">
        <f>'Topic Gates'!B5</f>
        <v>P0/P1</v>
      </c>
      <c r="C17" s="27" t="str">
        <f>'Topic Gates'!H5</f>
        <v>0 / 20</v>
      </c>
      <c r="D17" s="29">
        <f>'Topic Gates'!I5</f>
        <v>0</v>
      </c>
      <c r="F17" s="27"/>
      <c r="G17" s="27"/>
      <c r="H17" s="27"/>
      <c r="I17" s="27"/>
      <c r="J17" s="27"/>
    </row>
    <row r="18" ht="27" customHeight="1" spans="1:10">
      <c r="A18" s="27" t="str">
        <f>'Topic Gates'!A6</f>
        <v>04 - Advanced DP</v>
      </c>
      <c r="B18" s="27" t="str">
        <f>'Topic Gates'!B6</f>
        <v>P0/P1</v>
      </c>
      <c r="C18" s="27" t="str">
        <f>'Topic Gates'!H6</f>
        <v>0 / 21</v>
      </c>
      <c r="D18" s="29">
        <f>'Topic Gates'!I6</f>
        <v>0</v>
      </c>
      <c r="F18" s="27"/>
      <c r="G18" s="27"/>
      <c r="H18" s="27"/>
      <c r="I18" s="27"/>
      <c r="J18" s="27"/>
    </row>
    <row r="19" ht="27" customHeight="1" spans="1:10">
      <c r="A19" s="27" t="str">
        <f>'Topic Gates'!A7</f>
        <v>05 - Math and Counting</v>
      </c>
      <c r="B19" s="27" t="str">
        <f>'Topic Gates'!B7</f>
        <v>P0/P2</v>
      </c>
      <c r="C19" s="27" t="str">
        <f>'Topic Gates'!H7</f>
        <v>0 / 21</v>
      </c>
      <c r="D19" s="29">
        <f>'Topic Gates'!I7</f>
        <v>0</v>
      </c>
      <c r="F19" s="27"/>
      <c r="G19" s="27"/>
      <c r="H19" s="27"/>
      <c r="I19" s="27"/>
      <c r="J19" s="27"/>
    </row>
    <row r="20" spans="1:10">
      <c r="A20" s="27" t="str">
        <f>'Topic Gates'!A8</f>
        <v>06 - Strings</v>
      </c>
      <c r="B20" s="27" t="str">
        <f>'Topic Gates'!B8</f>
        <v>P0/P1</v>
      </c>
      <c r="C20" s="27" t="str">
        <f>'Topic Gates'!H8</f>
        <v>0 / 19</v>
      </c>
      <c r="D20" s="29">
        <f>'Topic Gates'!I8</f>
        <v>0</v>
      </c>
    </row>
    <row r="21" spans="1:10">
      <c r="A21" s="27" t="str">
        <f>'Topic Gates'!A9</f>
        <v>07 - Geometry</v>
      </c>
      <c r="B21" s="27" t="str">
        <f>'Topic Gates'!B9</f>
        <v>P1</v>
      </c>
      <c r="C21" s="27" t="str">
        <f>'Topic Gates'!H9</f>
        <v>0 / 18</v>
      </c>
      <c r="D21" s="29">
        <f>'Topic Gates'!I9</f>
        <v>0</v>
      </c>
      <c r="F21" s="23" t="s">
        <v>31</v>
      </c>
      <c r="G21" s="23"/>
      <c r="H21" s="23"/>
      <c r="I21" s="23"/>
      <c r="J21" s="23"/>
    </row>
    <row r="22" ht="26" customHeight="1" spans="1:10">
      <c r="A22" s="27" t="str">
        <f>'Topic Gates'!A10</f>
        <v>08 - Proof, Constructive, Game</v>
      </c>
      <c r="B22" s="27" t="str">
        <f>'Topic Gates'!B10</f>
        <v>P1</v>
      </c>
      <c r="C22" s="27" t="str">
        <f>'Topic Gates'!H10</f>
        <v>0 / 17</v>
      </c>
      <c r="D22" s="29">
        <f>'Topic Gates'!I10</f>
        <v>0</v>
      </c>
      <c r="F22" s="31" t="s">
        <v>32</v>
      </c>
      <c r="G22" s="27"/>
      <c r="H22" s="27"/>
      <c r="I22" s="27"/>
      <c r="J22" s="27"/>
    </row>
    <row r="23" ht="26" customHeight="1" spans="1:10">
      <c r="F23" s="27"/>
      <c r="G23" s="27"/>
      <c r="H23" s="27"/>
      <c r="I23" s="27"/>
      <c r="J23" s="27"/>
    </row>
    <row r="24" ht="26" customHeight="1" spans="1:10">
      <c r="F24" s="27"/>
      <c r="G24" s="27"/>
      <c r="H24" s="27"/>
      <c r="I24" s="27"/>
      <c r="J24" s="27"/>
    </row>
    <row r="25" ht="26" customHeight="1" spans="1:10">
      <c r="F25" s="27"/>
      <c r="G25" s="27"/>
      <c r="H25" s="27"/>
      <c r="I25" s="27"/>
      <c r="J25" s="27"/>
    </row>
    <row r="27" ht="30" customHeight="1" spans="1:10">
      <c r="A27" s="32" t="s">
        <v>33</v>
      </c>
    </row>
  </sheetData>
  <mergeCells count="7">
    <mergeCell ref="A3:J3"/>
    <mergeCell ref="F13:J13"/>
    <mergeCell ref="F21:J21"/>
    <mergeCell ref="A27:J27"/>
    <mergeCell ref="A1:J2"/>
    <mergeCell ref="F14:J19"/>
    <mergeCell ref="F22:J25"/>
  </mergeCells>
  <conditionalFormatting sqref="D14:D2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{799e0f0e-5111-4a2d-ae9b-9ade97b838dc}</x14:id>
        </ext>
      </extLst>
    </cfRule>
  </conditionalFormatting>
  <pageMargins left="0.25" right="0.25" top="0.299305555555556" bottom="0.299305555555556" header="0.5" footer="0.5"/>
  <pageSetup paperSize="1" scale="56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9e0f0e-5111-4a2d-ae9b-9ade97b838dc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D14:D22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pane xSplit="1" ySplit="1" topLeftCell="B2" activePane="bottomRight" state="frozenSplit"/>
      <selection/>
      <selection pane="topRight"/>
      <selection pane="bottomLeft"/>
      <selection pane="bottomRight" activeCell="A1" sqref="A1"/>
    </sheetView>
  </sheetViews>
  <sheetFormatPr defaultColWidth="8.88888888888889" defaultRowHeight="13.2"/>
  <cols>
    <col min="1" max="1" width="8.77777777777778" style="1" customWidth="1"/>
    <col min="2" max="3" width="12.7777777777778" style="1" customWidth="1"/>
    <col min="4" max="4" width="27.7777777777778" style="1" customWidth="1"/>
    <col min="5" max="5" width="12.7777777777778" style="1" customWidth="1"/>
    <col min="6" max="6" width="31.7777777777778" style="1" customWidth="1"/>
    <col min="7" max="7" width="55.7777777777778" style="1" customWidth="1"/>
    <col min="8" max="8" width="36.7777777777778" style="1" customWidth="1"/>
    <col min="9" max="9" width="46.7777777777778" style="1" customWidth="1"/>
    <col min="10" max="10" width="14.7777777777778" style="1" customWidth="1"/>
    <col min="11" max="12" width="13.7777777777778" style="1" customWidth="1"/>
    <col min="13" max="13" width="40.7777777777778" style="1" customWidth="1"/>
    <col min="14" max="16384" width="8.88888888888889" style="1"/>
  </cols>
  <sheetData>
    <row r="1" ht="34" customHeight="1" spans="1:13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</row>
    <row r="2" ht="26.4" spans="1:13">
      <c r="A2" s="13">
        <v>1</v>
      </c>
      <c r="B2" s="17">
        <v>46195</v>
      </c>
      <c r="C2" s="17">
        <v>46201</v>
      </c>
      <c r="D2" s="7" t="s">
        <v>47</v>
      </c>
      <c r="E2" s="7">
        <v>13</v>
      </c>
      <c r="F2" s="7" t="s">
        <v>48</v>
      </c>
      <c r="G2" s="7" t="s">
        <v>49</v>
      </c>
      <c r="H2" s="7" t="s">
        <v>50</v>
      </c>
      <c r="I2" s="7" t="s">
        <v>51</v>
      </c>
      <c r="J2" s="7" t="s">
        <v>52</v>
      </c>
      <c r="K2" s="7"/>
      <c r="L2" s="12">
        <f>IF(COUNTIF('Task Bank'!$H:$H,A2)=0,"",COUNTIFS('Task Bank'!$H:$H,A2,'Task Bank'!$F:$F,"AC")/COUNTIF('Task Bank'!$H:$H,A2))</f>
        <v>0</v>
      </c>
      <c r="M2" s="7"/>
    </row>
    <row r="3" ht="26.4" spans="1:13">
      <c r="A3" s="13">
        <v>2</v>
      </c>
      <c r="B3" s="17">
        <v>46202</v>
      </c>
      <c r="C3" s="17">
        <v>46208</v>
      </c>
      <c r="D3" s="7" t="s">
        <v>53</v>
      </c>
      <c r="E3" s="7">
        <v>13</v>
      </c>
      <c r="F3" s="7" t="s">
        <v>54</v>
      </c>
      <c r="G3" s="7" t="s">
        <v>55</v>
      </c>
      <c r="H3" s="7" t="s">
        <v>56</v>
      </c>
      <c r="I3" s="7" t="s">
        <v>57</v>
      </c>
      <c r="J3" s="7" t="s">
        <v>52</v>
      </c>
      <c r="K3" s="7"/>
      <c r="L3" s="12">
        <f>IF(COUNTIF('Task Bank'!$H:$H,A3)=0,"",COUNTIFS('Task Bank'!$H:$H,A3,'Task Bank'!$F:$F,"AC")/COUNTIF('Task Bank'!$H:$H,A3))</f>
        <v>0</v>
      </c>
      <c r="M3" s="7"/>
    </row>
    <row r="4" ht="26.4" spans="1:13">
      <c r="A4" s="13">
        <v>3</v>
      </c>
      <c r="B4" s="17">
        <v>46209</v>
      </c>
      <c r="C4" s="17">
        <v>46215</v>
      </c>
      <c r="D4" s="7" t="s">
        <v>53</v>
      </c>
      <c r="E4" s="7">
        <v>13</v>
      </c>
      <c r="F4" s="7" t="s">
        <v>58</v>
      </c>
      <c r="G4" s="7" t="s">
        <v>59</v>
      </c>
      <c r="H4" s="7" t="s">
        <v>60</v>
      </c>
      <c r="I4" s="7" t="s">
        <v>61</v>
      </c>
      <c r="J4" s="7" t="s">
        <v>52</v>
      </c>
      <c r="K4" s="7"/>
      <c r="L4" s="12">
        <f>IF(COUNTIF('Task Bank'!$H:$H,A4)=0,"",COUNTIFS('Task Bank'!$H:$H,A4,'Task Bank'!$F:$F,"AC")/COUNTIF('Task Bank'!$H:$H,A4))</f>
        <v>0</v>
      </c>
      <c r="M4" s="7"/>
    </row>
    <row r="5" ht="26.4" spans="1:13">
      <c r="A5" s="13">
        <v>4</v>
      </c>
      <c r="B5" s="17">
        <v>46216</v>
      </c>
      <c r="C5" s="17">
        <v>46222</v>
      </c>
      <c r="D5" s="7" t="s">
        <v>53</v>
      </c>
      <c r="E5" s="7">
        <v>13</v>
      </c>
      <c r="F5" s="7" t="s">
        <v>62</v>
      </c>
      <c r="G5" s="7" t="s">
        <v>63</v>
      </c>
      <c r="H5" s="7" t="s">
        <v>64</v>
      </c>
      <c r="I5" s="7" t="s">
        <v>65</v>
      </c>
      <c r="J5" s="7" t="s">
        <v>52</v>
      </c>
      <c r="K5" s="7"/>
      <c r="L5" s="12">
        <f>IF(COUNTIF('Task Bank'!$H:$H,A5)=0,"",COUNTIFS('Task Bank'!$H:$H,A5,'Task Bank'!$F:$F,"AC")/COUNTIF('Task Bank'!$H:$H,A5))</f>
        <v>0</v>
      </c>
      <c r="M5" s="7"/>
    </row>
    <row r="6" ht="26.4" spans="1:13">
      <c r="A6" s="13">
        <v>5</v>
      </c>
      <c r="B6" s="17">
        <v>46223</v>
      </c>
      <c r="C6" s="17">
        <v>46229</v>
      </c>
      <c r="D6" s="7" t="s">
        <v>53</v>
      </c>
      <c r="E6" s="7">
        <v>13</v>
      </c>
      <c r="F6" s="7" t="s">
        <v>66</v>
      </c>
      <c r="G6" s="7" t="s">
        <v>67</v>
      </c>
      <c r="H6" s="7" t="s">
        <v>68</v>
      </c>
      <c r="I6" s="7" t="s">
        <v>69</v>
      </c>
      <c r="J6" s="7" t="s">
        <v>52</v>
      </c>
      <c r="K6" s="7"/>
      <c r="L6" s="12">
        <f>IF(COUNTIF('Task Bank'!$H:$H,A6)=0,"",COUNTIFS('Task Bank'!$H:$H,A6,'Task Bank'!$F:$F,"AC")/COUNTIF('Task Bank'!$H:$H,A6))</f>
        <v>0</v>
      </c>
      <c r="M6" s="7"/>
    </row>
    <row r="7" ht="26.4" spans="1:13">
      <c r="A7" s="13">
        <v>6</v>
      </c>
      <c r="B7" s="17">
        <v>46230</v>
      </c>
      <c r="C7" s="17">
        <v>46236</v>
      </c>
      <c r="D7" s="7" t="s">
        <v>53</v>
      </c>
      <c r="E7" s="7">
        <v>13</v>
      </c>
      <c r="F7" s="7" t="s">
        <v>70</v>
      </c>
      <c r="G7" s="7" t="s">
        <v>71</v>
      </c>
      <c r="H7" s="7" t="s">
        <v>72</v>
      </c>
      <c r="I7" s="7" t="s">
        <v>73</v>
      </c>
      <c r="J7" s="7" t="s">
        <v>52</v>
      </c>
      <c r="K7" s="7"/>
      <c r="L7" s="12">
        <f>IF(COUNTIF('Task Bank'!$H:$H,A7)=0,"",COUNTIFS('Task Bank'!$H:$H,A7,'Task Bank'!$F:$F,"AC")/COUNTIF('Task Bank'!$H:$H,A7))</f>
        <v>0</v>
      </c>
      <c r="M7" s="7"/>
    </row>
    <row r="8" ht="26.4" spans="1:13">
      <c r="A8" s="13">
        <v>7</v>
      </c>
      <c r="B8" s="17">
        <v>46237</v>
      </c>
      <c r="C8" s="17">
        <v>46243</v>
      </c>
      <c r="D8" s="7" t="s">
        <v>53</v>
      </c>
      <c r="E8" s="7">
        <v>14</v>
      </c>
      <c r="F8" s="7" t="s">
        <v>74</v>
      </c>
      <c r="G8" s="7" t="s">
        <v>75</v>
      </c>
      <c r="H8" s="7" t="s">
        <v>76</v>
      </c>
      <c r="I8" s="7" t="s">
        <v>77</v>
      </c>
      <c r="J8" s="7" t="s">
        <v>52</v>
      </c>
      <c r="K8" s="7"/>
      <c r="L8" s="12">
        <f>IF(COUNTIF('Task Bank'!$H:$H,A8)=0,"",COUNTIFS('Task Bank'!$H:$H,A8,'Task Bank'!$F:$F,"AC")/COUNTIF('Task Bank'!$H:$H,A8))</f>
        <v>0</v>
      </c>
      <c r="M8" s="7"/>
    </row>
    <row r="9" ht="26.4" spans="1:13">
      <c r="A9" s="13">
        <v>8</v>
      </c>
      <c r="B9" s="17">
        <v>46244</v>
      </c>
      <c r="C9" s="17">
        <v>46250</v>
      </c>
      <c r="D9" s="7" t="s">
        <v>78</v>
      </c>
      <c r="E9" s="7">
        <v>14</v>
      </c>
      <c r="F9" s="7" t="s">
        <v>79</v>
      </c>
      <c r="G9" s="7" t="s">
        <v>80</v>
      </c>
      <c r="H9" s="7" t="s">
        <v>81</v>
      </c>
      <c r="I9" s="7" t="s">
        <v>82</v>
      </c>
      <c r="J9" s="7" t="s">
        <v>52</v>
      </c>
      <c r="K9" s="7"/>
      <c r="L9" s="12">
        <f>IF(COUNTIF('Task Bank'!$H:$H,A9)=0,"",COUNTIFS('Task Bank'!$H:$H,A9,'Task Bank'!$F:$F,"AC")/COUNTIF('Task Bank'!$H:$H,A9))</f>
        <v>0</v>
      </c>
      <c r="M9" s="7"/>
    </row>
    <row r="10" ht="26.4" spans="1:13">
      <c r="A10" s="13">
        <v>9</v>
      </c>
      <c r="B10" s="17">
        <v>46251</v>
      </c>
      <c r="C10" s="17">
        <v>46257</v>
      </c>
      <c r="D10" s="7" t="s">
        <v>78</v>
      </c>
      <c r="E10" s="7">
        <v>14</v>
      </c>
      <c r="F10" s="7" t="s">
        <v>83</v>
      </c>
      <c r="G10" s="7" t="s">
        <v>84</v>
      </c>
      <c r="H10" s="7" t="s">
        <v>85</v>
      </c>
      <c r="I10" s="7" t="s">
        <v>86</v>
      </c>
      <c r="J10" s="7" t="s">
        <v>52</v>
      </c>
      <c r="K10" s="7"/>
      <c r="L10" s="12">
        <f>IF(COUNTIF('Task Bank'!$H:$H,A10)=0,"",COUNTIFS('Task Bank'!$H:$H,A10,'Task Bank'!$F:$F,"AC")/COUNTIF('Task Bank'!$H:$H,A10))</f>
        <v>0</v>
      </c>
      <c r="M10" s="7"/>
    </row>
    <row r="11" ht="26.4" spans="1:13">
      <c r="A11" s="13">
        <v>10</v>
      </c>
      <c r="B11" s="17">
        <v>46258</v>
      </c>
      <c r="C11" s="17">
        <v>46264</v>
      </c>
      <c r="D11" s="7" t="s">
        <v>78</v>
      </c>
      <c r="E11" s="7">
        <v>14</v>
      </c>
      <c r="F11" s="7" t="s">
        <v>87</v>
      </c>
      <c r="G11" s="7" t="s">
        <v>88</v>
      </c>
      <c r="H11" s="7" t="s">
        <v>89</v>
      </c>
      <c r="I11" s="7" t="s">
        <v>90</v>
      </c>
      <c r="J11" s="7" t="s">
        <v>52</v>
      </c>
      <c r="K11" s="7"/>
      <c r="L11" s="12">
        <f>IF(COUNTIF('Task Bank'!$H:$H,A11)=0,"",COUNTIFS('Task Bank'!$H:$H,A11,'Task Bank'!$F:$F,"AC")/COUNTIF('Task Bank'!$H:$H,A11))</f>
        <v>0</v>
      </c>
      <c r="M11" s="7"/>
    </row>
    <row r="12" spans="1:13">
      <c r="A12" s="13">
        <v>11</v>
      </c>
      <c r="B12" s="17">
        <v>46265</v>
      </c>
      <c r="C12" s="17">
        <v>46271</v>
      </c>
      <c r="D12" s="7" t="s">
        <v>78</v>
      </c>
      <c r="E12" s="7">
        <v>14</v>
      </c>
      <c r="F12" s="7" t="s">
        <v>91</v>
      </c>
      <c r="G12" s="7" t="s">
        <v>92</v>
      </c>
      <c r="H12" s="7" t="s">
        <v>93</v>
      </c>
      <c r="I12" s="7" t="s">
        <v>94</v>
      </c>
      <c r="J12" s="7" t="s">
        <v>52</v>
      </c>
      <c r="K12" s="7"/>
      <c r="L12" s="12">
        <f>IF(COUNTIF('Task Bank'!$H:$H,A12)=0,"",COUNTIFS('Task Bank'!$H:$H,A12,'Task Bank'!$F:$F,"AC")/COUNTIF('Task Bank'!$H:$H,A12))</f>
        <v>0</v>
      </c>
      <c r="M12" s="7"/>
    </row>
    <row r="13" spans="1:13">
      <c r="A13" s="13">
        <v>12</v>
      </c>
      <c r="B13" s="17">
        <v>46272</v>
      </c>
      <c r="C13" s="17">
        <v>46278</v>
      </c>
      <c r="D13" s="7" t="s">
        <v>78</v>
      </c>
      <c r="E13" s="7">
        <v>14</v>
      </c>
      <c r="F13" s="7" t="s">
        <v>95</v>
      </c>
      <c r="G13" s="7" t="s">
        <v>96</v>
      </c>
      <c r="H13" s="7" t="s">
        <v>97</v>
      </c>
      <c r="I13" s="7" t="s">
        <v>98</v>
      </c>
      <c r="J13" s="7" t="s">
        <v>52</v>
      </c>
      <c r="K13" s="7"/>
      <c r="L13" s="12">
        <f>IF(COUNTIF('Task Bank'!$H:$H,A13)=0,"",COUNTIFS('Task Bank'!$H:$H,A13,'Task Bank'!$F:$F,"AC")/COUNTIF('Task Bank'!$H:$H,A13))</f>
        <v>0</v>
      </c>
      <c r="M13" s="7"/>
    </row>
    <row r="14" ht="26.4" spans="1:13">
      <c r="A14" s="13">
        <v>13</v>
      </c>
      <c r="B14" s="17">
        <v>46279</v>
      </c>
      <c r="C14" s="17">
        <v>46285</v>
      </c>
      <c r="D14" s="7" t="s">
        <v>78</v>
      </c>
      <c r="E14" s="7">
        <v>14</v>
      </c>
      <c r="F14" s="7" t="s">
        <v>99</v>
      </c>
      <c r="G14" s="7" t="s">
        <v>100</v>
      </c>
      <c r="H14" s="7" t="s">
        <v>101</v>
      </c>
      <c r="I14" s="7" t="s">
        <v>102</v>
      </c>
      <c r="J14" s="7" t="s">
        <v>52</v>
      </c>
      <c r="K14" s="7"/>
      <c r="L14" s="12">
        <f>IF(COUNTIF('Task Bank'!$H:$H,A14)=0,"",COUNTIFS('Task Bank'!$H:$H,A14,'Task Bank'!$F:$F,"AC")/COUNTIF('Task Bank'!$H:$H,A14))</f>
        <v>0</v>
      </c>
      <c r="M14" s="7"/>
    </row>
    <row r="15" ht="26.4" spans="1:13">
      <c r="A15" s="18">
        <v>14</v>
      </c>
      <c r="B15" s="17">
        <v>46286</v>
      </c>
      <c r="C15" s="17">
        <v>46292</v>
      </c>
      <c r="D15" s="7" t="s">
        <v>103</v>
      </c>
      <c r="E15" s="7">
        <v>17</v>
      </c>
      <c r="F15" s="7" t="s">
        <v>104</v>
      </c>
      <c r="G15" s="7" t="s">
        <v>105</v>
      </c>
      <c r="H15" s="7" t="s">
        <v>106</v>
      </c>
      <c r="I15" s="7" t="s">
        <v>107</v>
      </c>
      <c r="J15" s="7" t="s">
        <v>52</v>
      </c>
      <c r="K15" s="7"/>
      <c r="L15" s="12">
        <f>IF(COUNTIF('Task Bank'!$H:$H,A15)=0,"",COUNTIFS('Task Bank'!$H:$H,A15,'Task Bank'!$F:$F,"AC")/COUNTIF('Task Bank'!$H:$H,A15))</f>
        <v>0</v>
      </c>
      <c r="M15" s="7"/>
    </row>
    <row r="16" ht="26.4" spans="1:13">
      <c r="A16" s="18">
        <v>15</v>
      </c>
      <c r="B16" s="17">
        <v>46293</v>
      </c>
      <c r="C16" s="17">
        <v>46299</v>
      </c>
      <c r="D16" s="7" t="s">
        <v>103</v>
      </c>
      <c r="E16" s="7">
        <v>17</v>
      </c>
      <c r="F16" s="7" t="s">
        <v>108</v>
      </c>
      <c r="G16" s="7" t="s">
        <v>109</v>
      </c>
      <c r="H16" s="7" t="s">
        <v>110</v>
      </c>
      <c r="I16" s="7" t="s">
        <v>111</v>
      </c>
      <c r="J16" s="7" t="s">
        <v>52</v>
      </c>
      <c r="K16" s="7"/>
      <c r="L16" s="12">
        <f>IF(COUNTIF('Task Bank'!$H:$H,A16)=0,"",COUNTIFS('Task Bank'!$H:$H,A16,'Task Bank'!$F:$F,"AC")/COUNTIF('Task Bank'!$H:$H,A16))</f>
        <v>0</v>
      </c>
      <c r="M16" s="7"/>
    </row>
    <row r="17" spans="1:13">
      <c r="A17" s="18">
        <v>16</v>
      </c>
      <c r="B17" s="17">
        <v>46300</v>
      </c>
      <c r="C17" s="17">
        <v>46306</v>
      </c>
      <c r="D17" s="7" t="s">
        <v>103</v>
      </c>
      <c r="E17" s="7">
        <v>18</v>
      </c>
      <c r="F17" s="7" t="s">
        <v>112</v>
      </c>
      <c r="G17" s="7" t="s">
        <v>113</v>
      </c>
      <c r="H17" s="7" t="s">
        <v>114</v>
      </c>
      <c r="I17" s="7" t="s">
        <v>115</v>
      </c>
      <c r="J17" s="7" t="s">
        <v>52</v>
      </c>
      <c r="K17" s="7"/>
      <c r="L17" s="12">
        <f>IF(COUNTIF('Task Bank'!$H:$H,A17)=0,"",COUNTIFS('Task Bank'!$H:$H,A17,'Task Bank'!$F:$F,"AC")/COUNTIF('Task Bank'!$H:$H,A17))</f>
        <v>0</v>
      </c>
      <c r="M17" s="7"/>
    </row>
    <row r="18" spans="1:13">
      <c r="A18" s="18">
        <v>17</v>
      </c>
      <c r="B18" s="17">
        <v>46307</v>
      </c>
      <c r="C18" s="17">
        <v>46313</v>
      </c>
      <c r="D18" s="7" t="s">
        <v>103</v>
      </c>
      <c r="E18" s="7">
        <v>8</v>
      </c>
      <c r="F18" s="7" t="s">
        <v>116</v>
      </c>
      <c r="G18" s="7" t="s">
        <v>117</v>
      </c>
      <c r="H18" s="7" t="s">
        <v>118</v>
      </c>
      <c r="I18" s="7" t="s">
        <v>119</v>
      </c>
      <c r="J18" s="7" t="s">
        <v>52</v>
      </c>
      <c r="K18" s="7"/>
      <c r="L18" s="12" t="str">
        <f>IF(COUNTIF('Task Bank'!$H:$H,A18)=0,"",COUNTIFS('Task Bank'!$H:$H,A18,'Task Bank'!$F:$F,"AC")/COUNTIF('Task Bank'!$H:$H,A18))</f>
        <v/>
      </c>
      <c r="M18" s="7"/>
    </row>
    <row r="19" spans="1:13">
      <c r="A19" s="18">
        <v>18</v>
      </c>
      <c r="B19" s="17">
        <v>46314</v>
      </c>
      <c r="C19" s="17">
        <v>46320</v>
      </c>
      <c r="D19" s="7" t="s">
        <v>120</v>
      </c>
      <c r="E19" s="7">
        <v>14</v>
      </c>
      <c r="F19" s="7" t="s">
        <v>121</v>
      </c>
      <c r="G19" s="7" t="s">
        <v>122</v>
      </c>
      <c r="H19" s="7" t="s">
        <v>97</v>
      </c>
      <c r="I19" s="7" t="s">
        <v>123</v>
      </c>
      <c r="J19" s="7" t="s">
        <v>52</v>
      </c>
      <c r="K19" s="7"/>
      <c r="L19" s="12">
        <f>IF(COUNTIF('Task Bank'!$H:$H,A19)=0,"",COUNTIFS('Task Bank'!$H:$H,A19,'Task Bank'!$F:$F,"AC")/COUNTIF('Task Bank'!$H:$H,A19))</f>
        <v>0</v>
      </c>
      <c r="M19" s="7"/>
    </row>
    <row r="20" spans="1:13">
      <c r="A20" s="18">
        <v>19</v>
      </c>
      <c r="B20" s="17">
        <v>46321</v>
      </c>
      <c r="C20" s="17">
        <v>46327</v>
      </c>
      <c r="D20" s="7" t="s">
        <v>120</v>
      </c>
      <c r="E20" s="7">
        <v>16</v>
      </c>
      <c r="F20" s="7" t="s">
        <v>124</v>
      </c>
      <c r="G20" s="7" t="s">
        <v>125</v>
      </c>
      <c r="H20" s="7" t="s">
        <v>126</v>
      </c>
      <c r="I20" s="7" t="s">
        <v>127</v>
      </c>
      <c r="J20" s="7" t="s">
        <v>52</v>
      </c>
      <c r="K20" s="7"/>
      <c r="L20" s="12" t="str">
        <f>IF(COUNTIF('Task Bank'!$H:$H,A20)=0,"",COUNTIFS('Task Bank'!$H:$H,A20,'Task Bank'!$F:$F,"AC")/COUNTIF('Task Bank'!$H:$H,A20))</f>
        <v/>
      </c>
      <c r="M20" s="7"/>
    </row>
    <row r="21" spans="1:13">
      <c r="A21" s="18">
        <v>20</v>
      </c>
      <c r="B21" s="17">
        <v>46328</v>
      </c>
      <c r="C21" s="17">
        <v>46334</v>
      </c>
      <c r="D21" s="7" t="s">
        <v>120</v>
      </c>
      <c r="E21" s="7">
        <v>8</v>
      </c>
      <c r="F21" s="7" t="s">
        <v>128</v>
      </c>
      <c r="G21" s="7" t="s">
        <v>129</v>
      </c>
      <c r="H21" s="7" t="s">
        <v>130</v>
      </c>
      <c r="I21" s="7" t="s">
        <v>131</v>
      </c>
      <c r="J21" s="7" t="s">
        <v>52</v>
      </c>
      <c r="K21" s="7"/>
      <c r="L21" s="12" t="str">
        <f>IF(COUNTIF('Task Bank'!$H:$H,A21)=0,"",COUNTIFS('Task Bank'!$H:$H,A21,'Task Bank'!$F:$F,"AC")/COUNTIF('Task Bank'!$H:$H,A21))</f>
        <v/>
      </c>
      <c r="M21" s="7"/>
    </row>
    <row r="22" spans="1:13">
      <c r="A22" s="18">
        <v>21</v>
      </c>
      <c r="B22" s="17">
        <v>46335</v>
      </c>
      <c r="C22" s="17">
        <v>46341</v>
      </c>
      <c r="D22" s="7" t="s">
        <v>132</v>
      </c>
      <c r="E22" s="7">
        <v>10</v>
      </c>
      <c r="F22" s="7" t="s">
        <v>133</v>
      </c>
      <c r="G22" s="7" t="s">
        <v>134</v>
      </c>
      <c r="H22" s="7" t="s">
        <v>135</v>
      </c>
      <c r="I22" s="7" t="s">
        <v>136</v>
      </c>
      <c r="J22" s="7" t="s">
        <v>52</v>
      </c>
      <c r="K22" s="7"/>
      <c r="L22" s="12" t="str">
        <f>IF(COUNTIF('Task Bank'!$H:$H,A22)=0,"",COUNTIFS('Task Bank'!$H:$H,A22,'Task Bank'!$F:$F,"AC")/COUNTIF('Task Bank'!$H:$H,A22))</f>
        <v/>
      </c>
      <c r="M22" s="7"/>
    </row>
    <row r="23" spans="1:13">
      <c r="A23" s="18">
        <v>22</v>
      </c>
      <c r="B23" s="17">
        <v>46342</v>
      </c>
      <c r="C23" s="17">
        <v>46348</v>
      </c>
      <c r="D23" s="7" t="s">
        <v>132</v>
      </c>
      <c r="E23" s="7">
        <v>17</v>
      </c>
      <c r="F23" s="7" t="s">
        <v>137</v>
      </c>
      <c r="G23" s="7" t="s">
        <v>138</v>
      </c>
      <c r="H23" s="7" t="s">
        <v>139</v>
      </c>
      <c r="I23" s="7" t="s">
        <v>140</v>
      </c>
      <c r="J23" s="7" t="s">
        <v>52</v>
      </c>
      <c r="K23" s="7"/>
      <c r="L23" s="12" t="str">
        <f>IF(COUNTIF('Task Bank'!$H:$H,A23)=0,"",COUNTIFS('Task Bank'!$H:$H,A23,'Task Bank'!$F:$F,"AC")/COUNTIF('Task Bank'!$H:$H,A23))</f>
        <v/>
      </c>
      <c r="M23" s="7"/>
    </row>
    <row r="24" spans="1:13">
      <c r="A24" s="18">
        <v>23</v>
      </c>
      <c r="B24" s="17">
        <v>46349</v>
      </c>
      <c r="C24" s="17">
        <v>46355</v>
      </c>
      <c r="D24" s="7" t="s">
        <v>132</v>
      </c>
      <c r="E24" s="7">
        <v>18</v>
      </c>
      <c r="F24" s="7" t="s">
        <v>141</v>
      </c>
      <c r="G24" s="7" t="s">
        <v>142</v>
      </c>
      <c r="H24" s="7" t="s">
        <v>143</v>
      </c>
      <c r="I24" s="7" t="s">
        <v>144</v>
      </c>
      <c r="J24" s="7" t="s">
        <v>52</v>
      </c>
      <c r="K24" s="7"/>
      <c r="L24" s="12" t="str">
        <f>IF(COUNTIF('Task Bank'!$H:$H,A24)=0,"",COUNTIFS('Task Bank'!$H:$H,A24,'Task Bank'!$F:$F,"AC")/COUNTIF('Task Bank'!$H:$H,A24))</f>
        <v/>
      </c>
      <c r="M24" s="7"/>
    </row>
    <row r="25" spans="1:13">
      <c r="A25" s="18">
        <v>24</v>
      </c>
      <c r="B25" s="17">
        <v>46356</v>
      </c>
      <c r="C25" s="17">
        <v>46362</v>
      </c>
      <c r="D25" s="7" t="s">
        <v>132</v>
      </c>
      <c r="E25" s="7">
        <v>18</v>
      </c>
      <c r="F25" s="7" t="s">
        <v>145</v>
      </c>
      <c r="G25" s="7" t="s">
        <v>146</v>
      </c>
      <c r="H25" s="7" t="s">
        <v>147</v>
      </c>
      <c r="I25" s="7" t="s">
        <v>148</v>
      </c>
      <c r="J25" s="7" t="s">
        <v>52</v>
      </c>
      <c r="K25" s="7"/>
      <c r="L25" s="12" t="str">
        <f>IF(COUNTIF('Task Bank'!$H:$H,A25)=0,"",COUNTIFS('Task Bank'!$H:$H,A25,'Task Bank'!$F:$F,"AC")/COUNTIF('Task Bank'!$H:$H,A25))</f>
        <v/>
      </c>
      <c r="M25" s="7"/>
    </row>
    <row r="26" spans="1:13">
      <c r="A26" s="18">
        <v>25</v>
      </c>
      <c r="B26" s="17">
        <v>46363</v>
      </c>
      <c r="C26" s="17">
        <v>46369</v>
      </c>
      <c r="D26" s="7" t="s">
        <v>132</v>
      </c>
      <c r="E26" s="7">
        <v>8</v>
      </c>
      <c r="F26" s="7" t="s">
        <v>149</v>
      </c>
      <c r="G26" s="7" t="s">
        <v>150</v>
      </c>
      <c r="H26" s="7" t="s">
        <v>151</v>
      </c>
      <c r="I26" s="7" t="s">
        <v>152</v>
      </c>
      <c r="J26" s="7" t="s">
        <v>52</v>
      </c>
      <c r="K26" s="7"/>
      <c r="L26" s="12" t="str">
        <f>IF(COUNTIF('Task Bank'!$H:$H,A26)=0,"",COUNTIFS('Task Bank'!$H:$H,A26,'Task Bank'!$F:$F,"AC")/COUNTIF('Task Bank'!$H:$H,A26))</f>
        <v/>
      </c>
      <c r="M26" s="7"/>
    </row>
    <row r="27" ht="26.4" spans="1:13">
      <c r="A27" s="13">
        <v>26</v>
      </c>
      <c r="B27" s="17">
        <v>46370</v>
      </c>
      <c r="C27" s="17">
        <v>46376</v>
      </c>
      <c r="D27" s="7" t="s">
        <v>153</v>
      </c>
      <c r="E27" s="7">
        <v>8</v>
      </c>
      <c r="F27" s="7" t="s">
        <v>154</v>
      </c>
      <c r="G27" s="7" t="s">
        <v>155</v>
      </c>
      <c r="H27" s="7" t="s">
        <v>156</v>
      </c>
      <c r="I27" s="7" t="s">
        <v>157</v>
      </c>
      <c r="J27" s="7" t="s">
        <v>52</v>
      </c>
      <c r="K27" s="7"/>
      <c r="L27" s="12" t="str">
        <f>IF(COUNTIF('Task Bank'!$H:$H,A27)=0,"",COUNTIFS('Task Bank'!$H:$H,A27,'Task Bank'!$F:$F,"AC")/COUNTIF('Task Bank'!$H:$H,A27))</f>
        <v/>
      </c>
      <c r="M27" s="7"/>
    </row>
    <row r="28" spans="1:13">
      <c r="A28" s="13">
        <v>27</v>
      </c>
      <c r="B28" s="17">
        <v>46377</v>
      </c>
      <c r="C28" s="17">
        <v>46383</v>
      </c>
      <c r="D28" s="7" t="s">
        <v>153</v>
      </c>
      <c r="E28" s="7">
        <v>15</v>
      </c>
      <c r="F28" s="7" t="s">
        <v>158</v>
      </c>
      <c r="G28" s="7" t="s">
        <v>159</v>
      </c>
      <c r="H28" s="7" t="s">
        <v>160</v>
      </c>
      <c r="I28" s="7" t="s">
        <v>161</v>
      </c>
      <c r="J28" s="7" t="s">
        <v>52</v>
      </c>
      <c r="K28" s="7"/>
      <c r="L28" s="12">
        <f>IF(COUNTIF('Task Bank'!$H:$H,A28)=0,"",COUNTIFS('Task Bank'!$H:$H,A28,'Task Bank'!$F:$F,"AC")/COUNTIF('Task Bank'!$H:$H,A28))</f>
        <v>0</v>
      </c>
      <c r="M28" s="7"/>
    </row>
    <row r="29" spans="1:13">
      <c r="A29" s="13">
        <v>28</v>
      </c>
      <c r="B29" s="17">
        <v>46384</v>
      </c>
      <c r="C29" s="17">
        <v>46390</v>
      </c>
      <c r="D29" s="7" t="s">
        <v>153</v>
      </c>
      <c r="E29" s="7">
        <v>15</v>
      </c>
      <c r="F29" s="7" t="s">
        <v>162</v>
      </c>
      <c r="G29" s="7" t="s">
        <v>163</v>
      </c>
      <c r="H29" s="7" t="s">
        <v>164</v>
      </c>
      <c r="I29" s="7" t="s">
        <v>165</v>
      </c>
      <c r="J29" s="7" t="s">
        <v>52</v>
      </c>
      <c r="K29" s="7"/>
      <c r="L29" s="12">
        <f>IF(COUNTIF('Task Bank'!$H:$H,A29)=0,"",COUNTIFS('Task Bank'!$H:$H,A29,'Task Bank'!$F:$F,"AC")/COUNTIF('Task Bank'!$H:$H,A29))</f>
        <v>0</v>
      </c>
      <c r="M29" s="7"/>
    </row>
    <row r="30" spans="1:13">
      <c r="A30" s="13">
        <v>29</v>
      </c>
      <c r="B30" s="17">
        <v>46391</v>
      </c>
      <c r="C30" s="17">
        <v>46397</v>
      </c>
      <c r="D30" s="7" t="s">
        <v>153</v>
      </c>
      <c r="E30" s="7">
        <v>15</v>
      </c>
      <c r="F30" s="7" t="s">
        <v>166</v>
      </c>
      <c r="G30" s="7" t="s">
        <v>167</v>
      </c>
      <c r="H30" s="7" t="s">
        <v>168</v>
      </c>
      <c r="I30" s="7" t="s">
        <v>169</v>
      </c>
      <c r="J30" s="7" t="s">
        <v>52</v>
      </c>
      <c r="K30" s="7"/>
      <c r="L30" s="12">
        <f>IF(COUNTIF('Task Bank'!$H:$H,A30)=0,"",COUNTIFS('Task Bank'!$H:$H,A30,'Task Bank'!$F:$F,"AC")/COUNTIF('Task Bank'!$H:$H,A30))</f>
        <v>0</v>
      </c>
      <c r="M30" s="7"/>
    </row>
    <row r="31" spans="1:13">
      <c r="A31" s="13">
        <v>30</v>
      </c>
      <c r="B31" s="17">
        <v>46398</v>
      </c>
      <c r="C31" s="17">
        <v>46404</v>
      </c>
      <c r="D31" s="7" t="s">
        <v>153</v>
      </c>
      <c r="E31" s="7">
        <v>15</v>
      </c>
      <c r="F31" s="7" t="s">
        <v>170</v>
      </c>
      <c r="G31" s="7" t="s">
        <v>171</v>
      </c>
      <c r="H31" s="7" t="s">
        <v>172</v>
      </c>
      <c r="I31" s="7" t="s">
        <v>173</v>
      </c>
      <c r="J31" s="7" t="s">
        <v>52</v>
      </c>
      <c r="K31" s="7"/>
      <c r="L31" s="12">
        <f>IF(COUNTIF('Task Bank'!$H:$H,A31)=0,"",COUNTIFS('Task Bank'!$H:$H,A31,'Task Bank'!$F:$F,"AC")/COUNTIF('Task Bank'!$H:$H,A31))</f>
        <v>0</v>
      </c>
      <c r="M31" s="7"/>
    </row>
    <row r="32" spans="1:13">
      <c r="A32" s="13">
        <v>31</v>
      </c>
      <c r="B32" s="17">
        <v>46405</v>
      </c>
      <c r="C32" s="17">
        <v>46411</v>
      </c>
      <c r="D32" s="7" t="s">
        <v>153</v>
      </c>
      <c r="E32" s="7">
        <v>15</v>
      </c>
      <c r="F32" s="7" t="s">
        <v>174</v>
      </c>
      <c r="G32" s="7" t="s">
        <v>175</v>
      </c>
      <c r="H32" s="7" t="s">
        <v>176</v>
      </c>
      <c r="I32" s="7" t="s">
        <v>177</v>
      </c>
      <c r="J32" s="7" t="s">
        <v>52</v>
      </c>
      <c r="K32" s="7"/>
      <c r="L32" s="12">
        <f>IF(COUNTIF('Task Bank'!$H:$H,A32)=0,"",COUNTIFS('Task Bank'!$H:$H,A32,'Task Bank'!$F:$F,"AC")/COUNTIF('Task Bank'!$H:$H,A32))</f>
        <v>0</v>
      </c>
      <c r="M32" s="7"/>
    </row>
    <row r="33" spans="1:13">
      <c r="A33" s="13">
        <v>32</v>
      </c>
      <c r="B33" s="17">
        <v>46412</v>
      </c>
      <c r="C33" s="17">
        <v>46418</v>
      </c>
      <c r="D33" s="7" t="s">
        <v>153</v>
      </c>
      <c r="E33" s="7">
        <v>15</v>
      </c>
      <c r="F33" s="7" t="s">
        <v>178</v>
      </c>
      <c r="G33" s="7" t="s">
        <v>179</v>
      </c>
      <c r="H33" s="7" t="s">
        <v>180</v>
      </c>
      <c r="I33" s="7" t="s">
        <v>181</v>
      </c>
      <c r="J33" s="7" t="s">
        <v>52</v>
      </c>
      <c r="K33" s="7"/>
      <c r="L33" s="12" t="str">
        <f>IF(COUNTIF('Task Bank'!$H:$H,A33)=0,"",COUNTIFS('Task Bank'!$H:$H,A33,'Task Bank'!$F:$F,"AC")/COUNTIF('Task Bank'!$H:$H,A33))</f>
        <v/>
      </c>
      <c r="M33" s="7"/>
    </row>
    <row r="34" spans="1:13">
      <c r="A34" s="13">
        <v>33</v>
      </c>
      <c r="B34" s="17">
        <v>46419</v>
      </c>
      <c r="C34" s="17">
        <v>46425</v>
      </c>
      <c r="D34" s="7" t="s">
        <v>153</v>
      </c>
      <c r="E34" s="7">
        <v>15</v>
      </c>
      <c r="F34" s="7" t="s">
        <v>182</v>
      </c>
      <c r="G34" s="7" t="s">
        <v>183</v>
      </c>
      <c r="H34" s="7" t="s">
        <v>184</v>
      </c>
      <c r="I34" s="7" t="s">
        <v>185</v>
      </c>
      <c r="J34" s="7" t="s">
        <v>52</v>
      </c>
      <c r="K34" s="7"/>
      <c r="L34" s="12" t="str">
        <f>IF(COUNTIF('Task Bank'!$H:$H,A34)=0,"",COUNTIFS('Task Bank'!$H:$H,A34,'Task Bank'!$F:$F,"AC")/COUNTIF('Task Bank'!$H:$H,A34))</f>
        <v/>
      </c>
      <c r="M34" s="7"/>
    </row>
    <row r="35" spans="1:13">
      <c r="A35" s="13">
        <v>34</v>
      </c>
      <c r="B35" s="17">
        <v>46426</v>
      </c>
      <c r="C35" s="17">
        <v>46432</v>
      </c>
      <c r="D35" s="7" t="s">
        <v>153</v>
      </c>
      <c r="E35" s="7">
        <v>15</v>
      </c>
      <c r="F35" s="7" t="s">
        <v>186</v>
      </c>
      <c r="G35" s="7" t="s">
        <v>183</v>
      </c>
      <c r="H35" s="7" t="s">
        <v>187</v>
      </c>
      <c r="I35" s="7" t="s">
        <v>188</v>
      </c>
      <c r="J35" s="7" t="s">
        <v>52</v>
      </c>
      <c r="K35" s="7"/>
      <c r="L35" s="12" t="str">
        <f>IF(COUNTIF('Task Bank'!$H:$H,A35)=0,"",COUNTIFS('Task Bank'!$H:$H,A35,'Task Bank'!$F:$F,"AC")/COUNTIF('Task Bank'!$H:$H,A35))</f>
        <v/>
      </c>
      <c r="M35" s="7"/>
    </row>
    <row r="36" spans="1:13">
      <c r="A36" s="18">
        <v>35</v>
      </c>
      <c r="B36" s="17">
        <v>46433</v>
      </c>
      <c r="C36" s="17">
        <v>46439</v>
      </c>
      <c r="D36" s="7" t="s">
        <v>189</v>
      </c>
      <c r="E36" s="7">
        <v>18</v>
      </c>
      <c r="F36" s="7" t="s">
        <v>190</v>
      </c>
      <c r="G36" s="7" t="s">
        <v>191</v>
      </c>
      <c r="H36" s="7" t="s">
        <v>192</v>
      </c>
      <c r="I36" s="7" t="s">
        <v>193</v>
      </c>
      <c r="J36" s="7" t="s">
        <v>52</v>
      </c>
      <c r="K36" s="7"/>
      <c r="L36" s="12">
        <f>IF(COUNTIF('Task Bank'!$H:$H,A36)=0,"",COUNTIFS('Task Bank'!$H:$H,A36,'Task Bank'!$F:$F,"AC")/COUNTIF('Task Bank'!$H:$H,A36))</f>
        <v>0</v>
      </c>
      <c r="M36" s="7"/>
    </row>
    <row r="37" spans="1:13">
      <c r="A37" s="19">
        <v>36</v>
      </c>
      <c r="B37" s="17">
        <v>46440</v>
      </c>
      <c r="C37" s="17">
        <v>46446</v>
      </c>
      <c r="D37" s="7" t="s">
        <v>194</v>
      </c>
      <c r="E37" s="7">
        <v>10</v>
      </c>
      <c r="F37" s="7" t="s">
        <v>195</v>
      </c>
      <c r="G37" s="7" t="s">
        <v>196</v>
      </c>
      <c r="H37" s="7" t="s">
        <v>197</v>
      </c>
      <c r="I37" s="7" t="s">
        <v>198</v>
      </c>
      <c r="J37" s="7" t="s">
        <v>52</v>
      </c>
      <c r="K37" s="7"/>
      <c r="L37" s="12" t="str">
        <f>IF(COUNTIF('Task Bank'!$H:$H,A37)=0,"",COUNTIFS('Task Bank'!$H:$H,A37,'Task Bank'!$F:$F,"AC")/COUNTIF('Task Bank'!$H:$H,A37))</f>
        <v/>
      </c>
      <c r="M37" s="7"/>
    </row>
  </sheetData>
  <conditionalFormatting sqref="L2:L3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{3f1c796f-07d1-4cf4-b40a-6354b8489009}</x14:id>
        </ext>
      </extLst>
    </cfRule>
  </conditionalFormatting>
  <dataValidations count="1">
    <dataValidation type="list" allowBlank="1" showInputMessage="1" showErrorMessage="1" sqref="J2:J37">
      <formula1>WeekStatusList</formula1>
    </dataValidation>
  </dataValidations>
  <pageMargins left="0.75" right="0.75" top="1" bottom="1" header="0.5" footer="0.5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1c796f-07d1-4cf4-b40a-6354b8489009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L2:L37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5"/>
  <sheetViews>
    <sheetView workbookViewId="0">
      <pane xSplit="1" ySplit="1" topLeftCell="B2" activePane="bottomRight" state="frozenSplit"/>
      <selection/>
      <selection pane="topRight"/>
      <selection pane="bottomLeft"/>
      <selection pane="bottomRight" activeCell="A1" sqref="A1"/>
    </sheetView>
  </sheetViews>
  <sheetFormatPr defaultColWidth="8.88888888888889" defaultRowHeight="13.2"/>
  <cols>
    <col min="1" max="1" width="7.77777777777778" style="1" customWidth="1"/>
    <col min="2" max="2" width="31.7777777777778" style="1" customWidth="1"/>
    <col min="3" max="3" width="22.7777777777778" style="1" customWidth="1"/>
    <col min="4" max="4" width="40.7777777777778" style="1" customWidth="1"/>
    <col min="5" max="5" width="10.7777777777778" style="1" customWidth="1"/>
    <col min="6" max="6" width="15.7777777777778" style="1" customWidth="1"/>
    <col min="7" max="7" width="34.7777777777778" style="1" customWidth="1"/>
    <col min="8" max="8" width="13.7777777777778" style="1" customWidth="1"/>
    <col min="9" max="14" width="12.7777777777778" style="1" customWidth="1"/>
    <col min="15" max="15" width="54.7777777777778" style="1" customWidth="1"/>
    <col min="16" max="16" width="36.7777777777778" style="1" customWidth="1"/>
    <col min="17" max="17" width="44.7777777777778" style="1" customWidth="1"/>
    <col min="18" max="16384" width="8.88888888888889" style="1"/>
  </cols>
  <sheetData>
    <row r="1" ht="32" customHeight="1" spans="1:17">
      <c r="A1" s="2" t="s">
        <v>199</v>
      </c>
      <c r="B1" s="2" t="s">
        <v>200</v>
      </c>
      <c r="C1" s="2" t="s">
        <v>201</v>
      </c>
      <c r="D1" s="2" t="s">
        <v>202</v>
      </c>
      <c r="E1" s="2" t="s">
        <v>203</v>
      </c>
      <c r="F1" s="2" t="s">
        <v>43</v>
      </c>
      <c r="G1" s="2" t="s">
        <v>204</v>
      </c>
      <c r="H1" s="2" t="s">
        <v>205</v>
      </c>
      <c r="I1" s="2" t="s">
        <v>206</v>
      </c>
      <c r="J1" s="2" t="s">
        <v>207</v>
      </c>
      <c r="K1" s="2" t="s">
        <v>208</v>
      </c>
      <c r="L1" s="2" t="s">
        <v>209</v>
      </c>
      <c r="M1" s="2" t="s">
        <v>210</v>
      </c>
      <c r="N1" s="2" t="s">
        <v>211</v>
      </c>
      <c r="O1" s="2" t="s">
        <v>212</v>
      </c>
      <c r="P1" s="2" t="s">
        <v>46</v>
      </c>
      <c r="Q1" s="2" t="s">
        <v>213</v>
      </c>
    </row>
    <row r="2" ht="26.4" spans="1:17">
      <c r="A2" s="13">
        <v>1</v>
      </c>
      <c r="B2" s="7" t="s">
        <v>214</v>
      </c>
      <c r="C2" s="7" t="s">
        <v>215</v>
      </c>
      <c r="D2" s="7" t="s">
        <v>216</v>
      </c>
      <c r="E2" s="14" t="s">
        <v>203</v>
      </c>
      <c r="F2" s="7" t="s">
        <v>52</v>
      </c>
      <c r="G2" s="7" t="s">
        <v>217</v>
      </c>
      <c r="H2" s="7">
        <v>1</v>
      </c>
      <c r="I2" s="15"/>
      <c r="J2" s="15"/>
      <c r="K2" s="7"/>
      <c r="L2" s="7"/>
      <c r="M2" s="15" t="str">
        <f t="shared" ref="M2:M65" si="0">IF(J2="","",J2+7)</f>
        <v/>
      </c>
      <c r="N2" s="15" t="str">
        <f t="shared" ref="N2:N65" si="1">IF(J2="","",J2+21)</f>
        <v/>
      </c>
      <c r="O2" s="4" t="s">
        <v>218</v>
      </c>
      <c r="P2" s="4"/>
      <c r="Q2" s="4" t="s">
        <v>219</v>
      </c>
    </row>
    <row r="3" ht="26.4" spans="1:17">
      <c r="A3" s="13">
        <v>2</v>
      </c>
      <c r="B3" s="7" t="s">
        <v>214</v>
      </c>
      <c r="C3" s="7" t="s">
        <v>215</v>
      </c>
      <c r="D3" s="7" t="s">
        <v>220</v>
      </c>
      <c r="E3" s="14" t="s">
        <v>203</v>
      </c>
      <c r="F3" s="7" t="s">
        <v>52</v>
      </c>
      <c r="G3" s="7" t="s">
        <v>217</v>
      </c>
      <c r="H3" s="7">
        <v>1</v>
      </c>
      <c r="I3" s="15"/>
      <c r="J3" s="15"/>
      <c r="K3" s="7"/>
      <c r="L3" s="7"/>
      <c r="M3" s="15" t="str">
        <f t="shared" si="0"/>
        <v/>
      </c>
      <c r="N3" s="15" t="str">
        <f t="shared" si="1"/>
        <v/>
      </c>
      <c r="O3" s="4" t="s">
        <v>221</v>
      </c>
      <c r="P3" s="4"/>
      <c r="Q3" s="4" t="s">
        <v>219</v>
      </c>
    </row>
    <row r="4" ht="26.4" spans="1:17">
      <c r="A4" s="13">
        <v>3</v>
      </c>
      <c r="B4" s="7" t="s">
        <v>214</v>
      </c>
      <c r="C4" s="7" t="s">
        <v>215</v>
      </c>
      <c r="D4" s="7" t="s">
        <v>222</v>
      </c>
      <c r="E4" s="14" t="s">
        <v>203</v>
      </c>
      <c r="F4" s="7" t="s">
        <v>52</v>
      </c>
      <c r="G4" s="7" t="s">
        <v>217</v>
      </c>
      <c r="H4" s="7">
        <v>1</v>
      </c>
      <c r="I4" s="15"/>
      <c r="J4" s="15"/>
      <c r="K4" s="7"/>
      <c r="L4" s="7"/>
      <c r="M4" s="15" t="str">
        <f t="shared" si="0"/>
        <v/>
      </c>
      <c r="N4" s="15" t="str">
        <f t="shared" si="1"/>
        <v/>
      </c>
      <c r="O4" s="4" t="s">
        <v>223</v>
      </c>
      <c r="P4" s="4"/>
      <c r="Q4" s="4" t="s">
        <v>219</v>
      </c>
    </row>
    <row r="5" ht="26.4" spans="1:17">
      <c r="A5" s="13">
        <v>4</v>
      </c>
      <c r="B5" s="7" t="s">
        <v>214</v>
      </c>
      <c r="C5" s="7" t="s">
        <v>215</v>
      </c>
      <c r="D5" s="7" t="s">
        <v>224</v>
      </c>
      <c r="E5" s="14" t="s">
        <v>203</v>
      </c>
      <c r="F5" s="7" t="s">
        <v>52</v>
      </c>
      <c r="G5" s="7" t="s">
        <v>217</v>
      </c>
      <c r="H5" s="7">
        <v>1</v>
      </c>
      <c r="I5" s="15"/>
      <c r="J5" s="15"/>
      <c r="K5" s="7"/>
      <c r="L5" s="7"/>
      <c r="M5" s="15" t="str">
        <f t="shared" si="0"/>
        <v/>
      </c>
      <c r="N5" s="15" t="str">
        <f t="shared" si="1"/>
        <v/>
      </c>
      <c r="O5" s="4" t="s">
        <v>225</v>
      </c>
      <c r="P5" s="4"/>
      <c r="Q5" s="4" t="s">
        <v>219</v>
      </c>
    </row>
    <row r="6" ht="26.4" spans="1:17">
      <c r="A6" s="13">
        <v>5</v>
      </c>
      <c r="B6" s="7" t="s">
        <v>214</v>
      </c>
      <c r="C6" s="7" t="s">
        <v>226</v>
      </c>
      <c r="D6" s="7" t="s">
        <v>227</v>
      </c>
      <c r="E6" s="14" t="s">
        <v>203</v>
      </c>
      <c r="F6" s="7" t="s">
        <v>52</v>
      </c>
      <c r="G6" s="7" t="s">
        <v>217</v>
      </c>
      <c r="H6" s="7">
        <v>2</v>
      </c>
      <c r="I6" s="15"/>
      <c r="J6" s="15"/>
      <c r="K6" s="7"/>
      <c r="L6" s="7"/>
      <c r="M6" s="15" t="str">
        <f t="shared" si="0"/>
        <v/>
      </c>
      <c r="N6" s="15" t="str">
        <f t="shared" si="1"/>
        <v/>
      </c>
      <c r="O6" s="4" t="s">
        <v>228</v>
      </c>
      <c r="P6" s="4"/>
      <c r="Q6" s="4" t="s">
        <v>219</v>
      </c>
    </row>
    <row r="7" ht="26.4" spans="1:17">
      <c r="A7" s="13">
        <v>6</v>
      </c>
      <c r="B7" s="7" t="s">
        <v>214</v>
      </c>
      <c r="C7" s="7" t="s">
        <v>226</v>
      </c>
      <c r="D7" s="7" t="s">
        <v>229</v>
      </c>
      <c r="E7" s="14" t="s">
        <v>203</v>
      </c>
      <c r="F7" s="7" t="s">
        <v>52</v>
      </c>
      <c r="G7" s="7" t="s">
        <v>217</v>
      </c>
      <c r="H7" s="7">
        <v>2</v>
      </c>
      <c r="I7" s="15"/>
      <c r="J7" s="15"/>
      <c r="K7" s="7"/>
      <c r="L7" s="7"/>
      <c r="M7" s="15" t="str">
        <f t="shared" si="0"/>
        <v/>
      </c>
      <c r="N7" s="15" t="str">
        <f t="shared" si="1"/>
        <v/>
      </c>
      <c r="O7" s="4" t="s">
        <v>230</v>
      </c>
      <c r="P7" s="4"/>
      <c r="Q7" s="4" t="s">
        <v>219</v>
      </c>
    </row>
    <row r="8" ht="26.4" spans="1:17">
      <c r="A8" s="13">
        <v>7</v>
      </c>
      <c r="B8" s="7" t="s">
        <v>214</v>
      </c>
      <c r="C8" s="7" t="s">
        <v>226</v>
      </c>
      <c r="D8" s="7" t="s">
        <v>231</v>
      </c>
      <c r="E8" s="14" t="s">
        <v>203</v>
      </c>
      <c r="F8" s="7" t="s">
        <v>52</v>
      </c>
      <c r="G8" s="7" t="s">
        <v>217</v>
      </c>
      <c r="H8" s="7">
        <v>2</v>
      </c>
      <c r="I8" s="15"/>
      <c r="J8" s="15"/>
      <c r="K8" s="7"/>
      <c r="L8" s="7"/>
      <c r="M8" s="15" t="str">
        <f t="shared" si="0"/>
        <v/>
      </c>
      <c r="N8" s="15" t="str">
        <f t="shared" si="1"/>
        <v/>
      </c>
      <c r="O8" s="4" t="s">
        <v>232</v>
      </c>
      <c r="P8" s="4"/>
      <c r="Q8" s="4" t="s">
        <v>219</v>
      </c>
    </row>
    <row r="9" ht="26.4" spans="1:17">
      <c r="A9" s="13">
        <v>8</v>
      </c>
      <c r="B9" s="7" t="s">
        <v>214</v>
      </c>
      <c r="C9" s="7" t="s">
        <v>226</v>
      </c>
      <c r="D9" s="7" t="s">
        <v>233</v>
      </c>
      <c r="E9" s="14" t="s">
        <v>203</v>
      </c>
      <c r="F9" s="7" t="s">
        <v>52</v>
      </c>
      <c r="G9" s="7" t="s">
        <v>217</v>
      </c>
      <c r="H9" s="7">
        <v>2</v>
      </c>
      <c r="I9" s="15"/>
      <c r="J9" s="15"/>
      <c r="K9" s="7"/>
      <c r="L9" s="7"/>
      <c r="M9" s="15" t="str">
        <f t="shared" si="0"/>
        <v/>
      </c>
      <c r="N9" s="15" t="str">
        <f t="shared" si="1"/>
        <v/>
      </c>
      <c r="O9" s="4" t="s">
        <v>234</v>
      </c>
      <c r="P9" s="4"/>
      <c r="Q9" s="4" t="s">
        <v>219</v>
      </c>
    </row>
    <row r="10" ht="26.4" spans="1:17">
      <c r="A10" s="13">
        <v>9</v>
      </c>
      <c r="B10" s="7" t="s">
        <v>214</v>
      </c>
      <c r="C10" s="7" t="s">
        <v>226</v>
      </c>
      <c r="D10" s="7" t="s">
        <v>235</v>
      </c>
      <c r="E10" s="14" t="s">
        <v>203</v>
      </c>
      <c r="F10" s="7" t="s">
        <v>52</v>
      </c>
      <c r="G10" s="7" t="s">
        <v>217</v>
      </c>
      <c r="H10" s="7"/>
      <c r="I10" s="15"/>
      <c r="J10" s="15"/>
      <c r="K10" s="7"/>
      <c r="L10" s="7"/>
      <c r="M10" s="15" t="str">
        <f t="shared" si="0"/>
        <v/>
      </c>
      <c r="N10" s="15" t="str">
        <f t="shared" si="1"/>
        <v/>
      </c>
      <c r="O10" s="4" t="s">
        <v>236</v>
      </c>
      <c r="P10" s="4"/>
      <c r="Q10" s="4" t="s">
        <v>219</v>
      </c>
    </row>
    <row r="11" ht="26.4" spans="1:17">
      <c r="A11" s="13">
        <v>10</v>
      </c>
      <c r="B11" s="7" t="s">
        <v>214</v>
      </c>
      <c r="C11" s="7" t="s">
        <v>226</v>
      </c>
      <c r="D11" s="7" t="s">
        <v>237</v>
      </c>
      <c r="E11" s="14" t="s">
        <v>203</v>
      </c>
      <c r="F11" s="7" t="s">
        <v>52</v>
      </c>
      <c r="G11" s="7" t="s">
        <v>217</v>
      </c>
      <c r="H11" s="7"/>
      <c r="I11" s="15"/>
      <c r="J11" s="15"/>
      <c r="K11" s="7"/>
      <c r="L11" s="7"/>
      <c r="M11" s="15" t="str">
        <f t="shared" si="0"/>
        <v/>
      </c>
      <c r="N11" s="15" t="str">
        <f t="shared" si="1"/>
        <v/>
      </c>
      <c r="O11" s="4" t="s">
        <v>238</v>
      </c>
      <c r="P11" s="4"/>
      <c r="Q11" s="4" t="s">
        <v>219</v>
      </c>
    </row>
    <row r="12" ht="26.4" spans="1:17">
      <c r="A12" s="13">
        <v>11</v>
      </c>
      <c r="B12" s="7" t="s">
        <v>214</v>
      </c>
      <c r="C12" s="7" t="s">
        <v>226</v>
      </c>
      <c r="D12" s="7" t="s">
        <v>239</v>
      </c>
      <c r="E12" s="14" t="s">
        <v>203</v>
      </c>
      <c r="F12" s="7" t="s">
        <v>52</v>
      </c>
      <c r="G12" s="7" t="s">
        <v>217</v>
      </c>
      <c r="H12" s="7">
        <v>2</v>
      </c>
      <c r="I12" s="15"/>
      <c r="J12" s="15"/>
      <c r="K12" s="7"/>
      <c r="L12" s="7"/>
      <c r="M12" s="15" t="str">
        <f t="shared" si="0"/>
        <v/>
      </c>
      <c r="N12" s="15" t="str">
        <f t="shared" si="1"/>
        <v/>
      </c>
      <c r="O12" s="4" t="s">
        <v>240</v>
      </c>
      <c r="P12" s="4"/>
      <c r="Q12" s="4" t="s">
        <v>219</v>
      </c>
    </row>
    <row r="13" ht="26.4" spans="1:17">
      <c r="A13" s="13">
        <v>12</v>
      </c>
      <c r="B13" s="7" t="s">
        <v>214</v>
      </c>
      <c r="C13" s="7" t="s">
        <v>241</v>
      </c>
      <c r="D13" s="7" t="s">
        <v>242</v>
      </c>
      <c r="E13" s="14" t="s">
        <v>203</v>
      </c>
      <c r="F13" s="7" t="s">
        <v>52</v>
      </c>
      <c r="G13" s="7" t="s">
        <v>217</v>
      </c>
      <c r="H13" s="7"/>
      <c r="I13" s="15"/>
      <c r="J13" s="15"/>
      <c r="K13" s="7"/>
      <c r="L13" s="7"/>
      <c r="M13" s="15" t="str">
        <f t="shared" si="0"/>
        <v/>
      </c>
      <c r="N13" s="15" t="str">
        <f t="shared" si="1"/>
        <v/>
      </c>
      <c r="O13" s="4" t="s">
        <v>243</v>
      </c>
      <c r="P13" s="4"/>
      <c r="Q13" s="4" t="s">
        <v>219</v>
      </c>
    </row>
    <row r="14" ht="26.4" spans="1:17">
      <c r="A14" s="13">
        <v>13</v>
      </c>
      <c r="B14" s="7" t="s">
        <v>214</v>
      </c>
      <c r="C14" s="7" t="s">
        <v>244</v>
      </c>
      <c r="D14" s="7" t="s">
        <v>245</v>
      </c>
      <c r="E14" s="14" t="s">
        <v>203</v>
      </c>
      <c r="F14" s="7" t="s">
        <v>52</v>
      </c>
      <c r="G14" s="7" t="s">
        <v>217</v>
      </c>
      <c r="H14" s="7"/>
      <c r="I14" s="15"/>
      <c r="J14" s="15"/>
      <c r="K14" s="7"/>
      <c r="L14" s="7"/>
      <c r="M14" s="15" t="str">
        <f t="shared" si="0"/>
        <v/>
      </c>
      <c r="N14" s="15" t="str">
        <f t="shared" si="1"/>
        <v/>
      </c>
      <c r="O14" s="4" t="s">
        <v>246</v>
      </c>
      <c r="P14" s="4"/>
      <c r="Q14" s="4" t="s">
        <v>219</v>
      </c>
    </row>
    <row r="15" ht="26.4" spans="1:17">
      <c r="A15" s="13">
        <v>14</v>
      </c>
      <c r="B15" s="7" t="s">
        <v>214</v>
      </c>
      <c r="C15" s="7" t="s">
        <v>244</v>
      </c>
      <c r="D15" s="7" t="s">
        <v>247</v>
      </c>
      <c r="E15" s="14" t="s">
        <v>203</v>
      </c>
      <c r="F15" s="7" t="s">
        <v>52</v>
      </c>
      <c r="G15" s="7" t="s">
        <v>217</v>
      </c>
      <c r="H15" s="7"/>
      <c r="I15" s="15"/>
      <c r="J15" s="15"/>
      <c r="K15" s="7"/>
      <c r="L15" s="7"/>
      <c r="M15" s="15" t="str">
        <f t="shared" si="0"/>
        <v/>
      </c>
      <c r="N15" s="15" t="str">
        <f t="shared" si="1"/>
        <v/>
      </c>
      <c r="O15" s="4" t="s">
        <v>248</v>
      </c>
      <c r="P15" s="4"/>
      <c r="Q15" s="4" t="s">
        <v>219</v>
      </c>
    </row>
    <row r="16" ht="26.4" spans="1:17">
      <c r="A16" s="13">
        <v>15</v>
      </c>
      <c r="B16" s="7" t="s">
        <v>214</v>
      </c>
      <c r="C16" s="7" t="s">
        <v>244</v>
      </c>
      <c r="D16" s="7" t="s">
        <v>249</v>
      </c>
      <c r="E16" s="14" t="s">
        <v>203</v>
      </c>
      <c r="F16" s="7" t="s">
        <v>52</v>
      </c>
      <c r="G16" s="7" t="s">
        <v>217</v>
      </c>
      <c r="H16" s="7"/>
      <c r="I16" s="15"/>
      <c r="J16" s="15"/>
      <c r="K16" s="7"/>
      <c r="L16" s="7"/>
      <c r="M16" s="15" t="str">
        <f t="shared" si="0"/>
        <v/>
      </c>
      <c r="N16" s="15" t="str">
        <f t="shared" si="1"/>
        <v/>
      </c>
      <c r="O16" s="4" t="s">
        <v>250</v>
      </c>
      <c r="P16" s="4"/>
      <c r="Q16" s="4" t="s">
        <v>219</v>
      </c>
    </row>
    <row r="17" ht="26.4" spans="1:17">
      <c r="A17" s="16">
        <v>16</v>
      </c>
      <c r="B17" s="7" t="s">
        <v>214</v>
      </c>
      <c r="C17" s="7" t="s">
        <v>244</v>
      </c>
      <c r="D17" s="7" t="s">
        <v>251</v>
      </c>
      <c r="E17" s="14" t="s">
        <v>203</v>
      </c>
      <c r="F17" s="7" t="s">
        <v>252</v>
      </c>
      <c r="G17" s="7" t="s">
        <v>253</v>
      </c>
      <c r="H17" s="7"/>
      <c r="I17" s="15"/>
      <c r="J17" s="15"/>
      <c r="K17" s="7"/>
      <c r="L17" s="7"/>
      <c r="M17" s="15" t="str">
        <f t="shared" si="0"/>
        <v/>
      </c>
      <c r="N17" s="15" t="str">
        <f t="shared" si="1"/>
        <v/>
      </c>
      <c r="O17" s="4" t="s">
        <v>254</v>
      </c>
      <c r="P17" s="4"/>
      <c r="Q17" s="4" t="s">
        <v>219</v>
      </c>
    </row>
    <row r="18" ht="26.4" spans="1:17">
      <c r="A18" s="13">
        <v>17</v>
      </c>
      <c r="B18" s="7" t="s">
        <v>214</v>
      </c>
      <c r="C18" s="7" t="s">
        <v>255</v>
      </c>
      <c r="D18" s="7" t="s">
        <v>256</v>
      </c>
      <c r="E18" s="14" t="s">
        <v>203</v>
      </c>
      <c r="F18" s="7" t="s">
        <v>52</v>
      </c>
      <c r="G18" s="7" t="s">
        <v>217</v>
      </c>
      <c r="H18" s="7"/>
      <c r="I18" s="15"/>
      <c r="J18" s="15"/>
      <c r="K18" s="7"/>
      <c r="L18" s="7"/>
      <c r="M18" s="15" t="str">
        <f t="shared" si="0"/>
        <v/>
      </c>
      <c r="N18" s="15" t="str">
        <f t="shared" si="1"/>
        <v/>
      </c>
      <c r="O18" s="4" t="s">
        <v>257</v>
      </c>
      <c r="P18" s="4"/>
      <c r="Q18" s="4" t="s">
        <v>219</v>
      </c>
    </row>
    <row r="19" ht="26.4" spans="1:17">
      <c r="A19" s="13">
        <v>18</v>
      </c>
      <c r="B19" s="7" t="s">
        <v>258</v>
      </c>
      <c r="C19" s="7" t="s">
        <v>215</v>
      </c>
      <c r="D19" s="7" t="s">
        <v>259</v>
      </c>
      <c r="E19" s="14" t="s">
        <v>203</v>
      </c>
      <c r="F19" s="7" t="s">
        <v>52</v>
      </c>
      <c r="G19" s="7" t="s">
        <v>260</v>
      </c>
      <c r="H19" s="7">
        <v>3</v>
      </c>
      <c r="I19" s="15"/>
      <c r="J19" s="15"/>
      <c r="K19" s="7"/>
      <c r="L19" s="7"/>
      <c r="M19" s="15" t="str">
        <f t="shared" si="0"/>
        <v/>
      </c>
      <c r="N19" s="15" t="str">
        <f t="shared" si="1"/>
        <v/>
      </c>
      <c r="O19" s="4" t="s">
        <v>261</v>
      </c>
      <c r="P19" s="4"/>
      <c r="Q19" s="4" t="s">
        <v>262</v>
      </c>
    </row>
    <row r="20" ht="26.4" spans="1:17">
      <c r="A20" s="13">
        <v>19</v>
      </c>
      <c r="B20" s="7" t="s">
        <v>258</v>
      </c>
      <c r="C20" s="7" t="s">
        <v>215</v>
      </c>
      <c r="D20" s="7" t="s">
        <v>263</v>
      </c>
      <c r="E20" s="14" t="s">
        <v>203</v>
      </c>
      <c r="F20" s="7" t="s">
        <v>52</v>
      </c>
      <c r="G20" s="7" t="s">
        <v>260</v>
      </c>
      <c r="H20" s="7">
        <v>3</v>
      </c>
      <c r="I20" s="15"/>
      <c r="J20" s="15"/>
      <c r="K20" s="7"/>
      <c r="L20" s="7"/>
      <c r="M20" s="15" t="str">
        <f t="shared" si="0"/>
        <v/>
      </c>
      <c r="N20" s="15" t="str">
        <f t="shared" si="1"/>
        <v/>
      </c>
      <c r="O20" s="4" t="s">
        <v>264</v>
      </c>
      <c r="P20" s="4"/>
      <c r="Q20" s="4" t="s">
        <v>262</v>
      </c>
    </row>
    <row r="21" ht="26.4" spans="1:17">
      <c r="A21" s="13">
        <v>20</v>
      </c>
      <c r="B21" s="7" t="s">
        <v>258</v>
      </c>
      <c r="C21" s="7" t="s">
        <v>215</v>
      </c>
      <c r="D21" s="7" t="s">
        <v>265</v>
      </c>
      <c r="E21" s="14" t="s">
        <v>203</v>
      </c>
      <c r="F21" s="7" t="s">
        <v>52</v>
      </c>
      <c r="G21" s="7" t="s">
        <v>260</v>
      </c>
      <c r="H21" s="7">
        <v>3</v>
      </c>
      <c r="I21" s="15"/>
      <c r="J21" s="15"/>
      <c r="K21" s="7"/>
      <c r="L21" s="7"/>
      <c r="M21" s="15" t="str">
        <f t="shared" si="0"/>
        <v/>
      </c>
      <c r="N21" s="15" t="str">
        <f t="shared" si="1"/>
        <v/>
      </c>
      <c r="O21" s="4" t="s">
        <v>266</v>
      </c>
      <c r="P21" s="4"/>
      <c r="Q21" s="4" t="s">
        <v>262</v>
      </c>
    </row>
    <row r="22" ht="26.4" spans="1:17">
      <c r="A22" s="13">
        <v>21</v>
      </c>
      <c r="B22" s="7" t="s">
        <v>258</v>
      </c>
      <c r="C22" s="7" t="s">
        <v>215</v>
      </c>
      <c r="D22" s="7" t="s">
        <v>267</v>
      </c>
      <c r="E22" s="14" t="s">
        <v>203</v>
      </c>
      <c r="F22" s="7" t="s">
        <v>52</v>
      </c>
      <c r="G22" s="7" t="s">
        <v>260</v>
      </c>
      <c r="H22" s="7">
        <v>8</v>
      </c>
      <c r="I22" s="15"/>
      <c r="J22" s="15"/>
      <c r="K22" s="7"/>
      <c r="L22" s="7"/>
      <c r="M22" s="15" t="str">
        <f t="shared" si="0"/>
        <v/>
      </c>
      <c r="N22" s="15" t="str">
        <f t="shared" si="1"/>
        <v/>
      </c>
      <c r="O22" s="4" t="s">
        <v>268</v>
      </c>
      <c r="P22" s="4"/>
      <c r="Q22" s="4" t="s">
        <v>262</v>
      </c>
    </row>
    <row r="23" ht="26.4" spans="1:17">
      <c r="A23" s="13">
        <v>22</v>
      </c>
      <c r="B23" s="7" t="s">
        <v>258</v>
      </c>
      <c r="C23" s="7" t="s">
        <v>215</v>
      </c>
      <c r="D23" s="7" t="s">
        <v>269</v>
      </c>
      <c r="E23" s="14" t="s">
        <v>203</v>
      </c>
      <c r="F23" s="7" t="s">
        <v>52</v>
      </c>
      <c r="G23" s="7" t="s">
        <v>260</v>
      </c>
      <c r="H23" s="7">
        <v>3</v>
      </c>
      <c r="I23" s="15"/>
      <c r="J23" s="15"/>
      <c r="K23" s="7"/>
      <c r="L23" s="7"/>
      <c r="M23" s="15" t="str">
        <f t="shared" si="0"/>
        <v/>
      </c>
      <c r="N23" s="15" t="str">
        <f t="shared" si="1"/>
        <v/>
      </c>
      <c r="O23" s="4" t="s">
        <v>270</v>
      </c>
      <c r="P23" s="4"/>
      <c r="Q23" s="4" t="s">
        <v>262</v>
      </c>
    </row>
    <row r="24" ht="14.4" spans="1:17">
      <c r="A24" s="13">
        <v>23</v>
      </c>
      <c r="B24" s="7" t="s">
        <v>258</v>
      </c>
      <c r="C24" s="7" t="s">
        <v>215</v>
      </c>
      <c r="D24" s="7" t="s">
        <v>271</v>
      </c>
      <c r="E24" s="14" t="s">
        <v>203</v>
      </c>
      <c r="F24" s="7" t="s">
        <v>52</v>
      </c>
      <c r="G24" s="7" t="s">
        <v>260</v>
      </c>
      <c r="H24" s="7">
        <v>3</v>
      </c>
      <c r="I24" s="15"/>
      <c r="J24" s="15"/>
      <c r="K24" s="7"/>
      <c r="L24" s="7"/>
      <c r="M24" s="15" t="str">
        <f t="shared" si="0"/>
        <v/>
      </c>
      <c r="N24" s="15" t="str">
        <f t="shared" si="1"/>
        <v/>
      </c>
      <c r="O24" s="4" t="s">
        <v>272</v>
      </c>
      <c r="P24" s="4"/>
      <c r="Q24" s="4" t="s">
        <v>262</v>
      </c>
    </row>
    <row r="25" ht="26.4" spans="1:17">
      <c r="A25" s="13">
        <v>24</v>
      </c>
      <c r="B25" s="7" t="s">
        <v>258</v>
      </c>
      <c r="C25" s="7" t="s">
        <v>215</v>
      </c>
      <c r="D25" s="7" t="s">
        <v>273</v>
      </c>
      <c r="E25" s="14" t="s">
        <v>203</v>
      </c>
      <c r="F25" s="7" t="s">
        <v>52</v>
      </c>
      <c r="G25" s="7" t="s">
        <v>260</v>
      </c>
      <c r="H25" s="7">
        <v>3</v>
      </c>
      <c r="I25" s="15"/>
      <c r="J25" s="15"/>
      <c r="K25" s="7"/>
      <c r="L25" s="7"/>
      <c r="M25" s="15" t="str">
        <f t="shared" si="0"/>
        <v/>
      </c>
      <c r="N25" s="15" t="str">
        <f t="shared" si="1"/>
        <v/>
      </c>
      <c r="O25" s="4" t="s">
        <v>274</v>
      </c>
      <c r="P25" s="4"/>
      <c r="Q25" s="4" t="s">
        <v>262</v>
      </c>
    </row>
    <row r="26" ht="14.4" spans="1:17">
      <c r="A26" s="13">
        <v>25</v>
      </c>
      <c r="B26" s="7" t="s">
        <v>258</v>
      </c>
      <c r="C26" s="7" t="s">
        <v>226</v>
      </c>
      <c r="D26" s="7" t="s">
        <v>275</v>
      </c>
      <c r="E26" s="14" t="s">
        <v>203</v>
      </c>
      <c r="F26" s="7" t="s">
        <v>52</v>
      </c>
      <c r="G26" s="7" t="s">
        <v>260</v>
      </c>
      <c r="H26" s="7">
        <v>8</v>
      </c>
      <c r="I26" s="15"/>
      <c r="J26" s="15"/>
      <c r="K26" s="7"/>
      <c r="L26" s="7"/>
      <c r="M26" s="15" t="str">
        <f t="shared" si="0"/>
        <v/>
      </c>
      <c r="N26" s="15" t="str">
        <f t="shared" si="1"/>
        <v/>
      </c>
      <c r="O26" s="4" t="s">
        <v>276</v>
      </c>
      <c r="P26" s="4"/>
      <c r="Q26" s="4" t="s">
        <v>262</v>
      </c>
    </row>
    <row r="27" ht="26.4" spans="1:17">
      <c r="A27" s="13">
        <v>26</v>
      </c>
      <c r="B27" s="7" t="s">
        <v>258</v>
      </c>
      <c r="C27" s="7" t="s">
        <v>226</v>
      </c>
      <c r="D27" s="7" t="s">
        <v>277</v>
      </c>
      <c r="E27" s="14" t="s">
        <v>203</v>
      </c>
      <c r="F27" s="7" t="s">
        <v>52</v>
      </c>
      <c r="G27" s="7" t="s">
        <v>260</v>
      </c>
      <c r="H27" s="7">
        <v>8</v>
      </c>
      <c r="I27" s="15"/>
      <c r="J27" s="15"/>
      <c r="K27" s="7"/>
      <c r="L27" s="7"/>
      <c r="M27" s="15" t="str">
        <f t="shared" si="0"/>
        <v/>
      </c>
      <c r="N27" s="15" t="str">
        <f t="shared" si="1"/>
        <v/>
      </c>
      <c r="O27" s="4" t="s">
        <v>278</v>
      </c>
      <c r="P27" s="4"/>
      <c r="Q27" s="4" t="s">
        <v>262</v>
      </c>
    </row>
    <row r="28" ht="14.4" spans="1:17">
      <c r="A28" s="13">
        <v>27</v>
      </c>
      <c r="B28" s="7" t="s">
        <v>258</v>
      </c>
      <c r="C28" s="7" t="s">
        <v>226</v>
      </c>
      <c r="D28" s="7" t="s">
        <v>279</v>
      </c>
      <c r="E28" s="14" t="s">
        <v>203</v>
      </c>
      <c r="F28" s="7" t="s">
        <v>52</v>
      </c>
      <c r="G28" s="7" t="s">
        <v>260</v>
      </c>
      <c r="H28" s="7">
        <v>8</v>
      </c>
      <c r="I28" s="15"/>
      <c r="J28" s="15"/>
      <c r="K28" s="7"/>
      <c r="L28" s="7"/>
      <c r="M28" s="15" t="str">
        <f t="shared" si="0"/>
        <v/>
      </c>
      <c r="N28" s="15" t="str">
        <f t="shared" si="1"/>
        <v/>
      </c>
      <c r="O28" s="4" t="s">
        <v>280</v>
      </c>
      <c r="P28" s="4"/>
      <c r="Q28" s="4" t="s">
        <v>262</v>
      </c>
    </row>
    <row r="29" ht="14.4" spans="1:17">
      <c r="A29" s="13">
        <v>28</v>
      </c>
      <c r="B29" s="7" t="s">
        <v>258</v>
      </c>
      <c r="C29" s="7" t="s">
        <v>226</v>
      </c>
      <c r="D29" s="7" t="s">
        <v>281</v>
      </c>
      <c r="E29" s="14" t="s">
        <v>203</v>
      </c>
      <c r="F29" s="7" t="s">
        <v>52</v>
      </c>
      <c r="G29" s="7" t="s">
        <v>260</v>
      </c>
      <c r="H29" s="7">
        <v>8</v>
      </c>
      <c r="I29" s="15"/>
      <c r="J29" s="15"/>
      <c r="K29" s="7"/>
      <c r="L29" s="7"/>
      <c r="M29" s="15" t="str">
        <f t="shared" si="0"/>
        <v/>
      </c>
      <c r="N29" s="15" t="str">
        <f t="shared" si="1"/>
        <v/>
      </c>
      <c r="O29" s="4" t="s">
        <v>282</v>
      </c>
      <c r="P29" s="4"/>
      <c r="Q29" s="4" t="s">
        <v>262</v>
      </c>
    </row>
    <row r="30" ht="14.4" spans="1:17">
      <c r="A30" s="13">
        <v>29</v>
      </c>
      <c r="B30" s="7" t="s">
        <v>258</v>
      </c>
      <c r="C30" s="7" t="s">
        <v>226</v>
      </c>
      <c r="D30" s="7" t="s">
        <v>283</v>
      </c>
      <c r="E30" s="14" t="s">
        <v>203</v>
      </c>
      <c r="F30" s="7" t="s">
        <v>52</v>
      </c>
      <c r="G30" s="7" t="s">
        <v>260</v>
      </c>
      <c r="H30" s="7"/>
      <c r="I30" s="15"/>
      <c r="J30" s="15"/>
      <c r="K30" s="7"/>
      <c r="L30" s="7"/>
      <c r="M30" s="15" t="str">
        <f t="shared" si="0"/>
        <v/>
      </c>
      <c r="N30" s="15" t="str">
        <f t="shared" si="1"/>
        <v/>
      </c>
      <c r="O30" s="4" t="s">
        <v>284</v>
      </c>
      <c r="P30" s="4"/>
      <c r="Q30" s="4" t="s">
        <v>262</v>
      </c>
    </row>
    <row r="31" ht="14.4" spans="1:17">
      <c r="A31" s="13">
        <v>30</v>
      </c>
      <c r="B31" s="7" t="s">
        <v>258</v>
      </c>
      <c r="C31" s="7" t="s">
        <v>226</v>
      </c>
      <c r="D31" s="7" t="s">
        <v>285</v>
      </c>
      <c r="E31" s="14" t="s">
        <v>203</v>
      </c>
      <c r="F31" s="7" t="s">
        <v>52</v>
      </c>
      <c r="G31" s="7" t="s">
        <v>260</v>
      </c>
      <c r="H31" s="7">
        <v>14</v>
      </c>
      <c r="I31" s="15"/>
      <c r="J31" s="15"/>
      <c r="K31" s="7"/>
      <c r="L31" s="7"/>
      <c r="M31" s="15" t="str">
        <f t="shared" si="0"/>
        <v/>
      </c>
      <c r="N31" s="15" t="str">
        <f t="shared" si="1"/>
        <v/>
      </c>
      <c r="O31" s="4" t="s">
        <v>286</v>
      </c>
      <c r="P31" s="4"/>
      <c r="Q31" s="4" t="s">
        <v>262</v>
      </c>
    </row>
    <row r="32" ht="26.4" spans="1:17">
      <c r="A32" s="13">
        <v>31</v>
      </c>
      <c r="B32" s="7" t="s">
        <v>258</v>
      </c>
      <c r="C32" s="7" t="s">
        <v>226</v>
      </c>
      <c r="D32" s="7" t="s">
        <v>287</v>
      </c>
      <c r="E32" s="14" t="s">
        <v>203</v>
      </c>
      <c r="F32" s="7" t="s">
        <v>52</v>
      </c>
      <c r="G32" s="7" t="s">
        <v>260</v>
      </c>
      <c r="H32" s="7">
        <v>14</v>
      </c>
      <c r="I32" s="15"/>
      <c r="J32" s="15"/>
      <c r="K32" s="7"/>
      <c r="L32" s="7"/>
      <c r="M32" s="15" t="str">
        <f t="shared" si="0"/>
        <v/>
      </c>
      <c r="N32" s="15" t="str">
        <f t="shared" si="1"/>
        <v/>
      </c>
      <c r="O32" s="4" t="s">
        <v>288</v>
      </c>
      <c r="P32" s="4"/>
      <c r="Q32" s="4" t="s">
        <v>262</v>
      </c>
    </row>
    <row r="33" ht="26.4" spans="1:17">
      <c r="A33" s="13">
        <v>32</v>
      </c>
      <c r="B33" s="7" t="s">
        <v>258</v>
      </c>
      <c r="C33" s="7" t="s">
        <v>241</v>
      </c>
      <c r="D33" s="7" t="s">
        <v>289</v>
      </c>
      <c r="E33" s="14" t="s">
        <v>203</v>
      </c>
      <c r="F33" s="7" t="s">
        <v>52</v>
      </c>
      <c r="G33" s="7" t="s">
        <v>260</v>
      </c>
      <c r="H33" s="7"/>
      <c r="I33" s="15"/>
      <c r="J33" s="15"/>
      <c r="K33" s="7"/>
      <c r="L33" s="7"/>
      <c r="M33" s="15" t="str">
        <f t="shared" si="0"/>
        <v/>
      </c>
      <c r="N33" s="15" t="str">
        <f t="shared" si="1"/>
        <v/>
      </c>
      <c r="O33" s="4" t="s">
        <v>290</v>
      </c>
      <c r="P33" s="4"/>
      <c r="Q33" s="4" t="s">
        <v>262</v>
      </c>
    </row>
    <row r="34" ht="26.4" spans="1:17">
      <c r="A34" s="13">
        <v>33</v>
      </c>
      <c r="B34" s="7" t="s">
        <v>258</v>
      </c>
      <c r="C34" s="7" t="s">
        <v>241</v>
      </c>
      <c r="D34" s="7" t="s">
        <v>291</v>
      </c>
      <c r="E34" s="14" t="s">
        <v>203</v>
      </c>
      <c r="F34" s="7" t="s">
        <v>52</v>
      </c>
      <c r="G34" s="7" t="s">
        <v>260</v>
      </c>
      <c r="H34" s="7"/>
      <c r="I34" s="15"/>
      <c r="J34" s="15"/>
      <c r="K34" s="7"/>
      <c r="L34" s="7"/>
      <c r="M34" s="15" t="str">
        <f t="shared" si="0"/>
        <v/>
      </c>
      <c r="N34" s="15" t="str">
        <f t="shared" si="1"/>
        <v/>
      </c>
      <c r="O34" s="4" t="s">
        <v>292</v>
      </c>
      <c r="P34" s="4"/>
      <c r="Q34" s="4" t="s">
        <v>262</v>
      </c>
    </row>
    <row r="35" ht="26.4" spans="1:17">
      <c r="A35" s="13">
        <v>34</v>
      </c>
      <c r="B35" s="7" t="s">
        <v>258</v>
      </c>
      <c r="C35" s="7" t="s">
        <v>241</v>
      </c>
      <c r="D35" s="7" t="s">
        <v>293</v>
      </c>
      <c r="E35" s="14" t="s">
        <v>203</v>
      </c>
      <c r="F35" s="7" t="s">
        <v>52</v>
      </c>
      <c r="G35" s="7" t="s">
        <v>260</v>
      </c>
      <c r="H35" s="7"/>
      <c r="I35" s="15"/>
      <c r="J35" s="15"/>
      <c r="K35" s="7"/>
      <c r="L35" s="7"/>
      <c r="M35" s="15" t="str">
        <f t="shared" si="0"/>
        <v/>
      </c>
      <c r="N35" s="15" t="str">
        <f t="shared" si="1"/>
        <v/>
      </c>
      <c r="O35" s="4" t="s">
        <v>294</v>
      </c>
      <c r="P35" s="4"/>
      <c r="Q35" s="4" t="s">
        <v>262</v>
      </c>
    </row>
    <row r="36" ht="26.4" spans="1:17">
      <c r="A36" s="13">
        <v>35</v>
      </c>
      <c r="B36" s="7" t="s">
        <v>258</v>
      </c>
      <c r="C36" s="7" t="s">
        <v>241</v>
      </c>
      <c r="D36" s="7" t="s">
        <v>295</v>
      </c>
      <c r="E36" s="14" t="s">
        <v>203</v>
      </c>
      <c r="F36" s="7" t="s">
        <v>52</v>
      </c>
      <c r="G36" s="7" t="s">
        <v>260</v>
      </c>
      <c r="H36" s="7"/>
      <c r="I36" s="15"/>
      <c r="J36" s="15"/>
      <c r="K36" s="7"/>
      <c r="L36" s="7"/>
      <c r="M36" s="15" t="str">
        <f t="shared" si="0"/>
        <v/>
      </c>
      <c r="N36" s="15" t="str">
        <f t="shared" si="1"/>
        <v/>
      </c>
      <c r="O36" s="4" t="s">
        <v>296</v>
      </c>
      <c r="P36" s="4"/>
      <c r="Q36" s="4" t="s">
        <v>262</v>
      </c>
    </row>
    <row r="37" ht="26.4" spans="1:17">
      <c r="A37" s="13">
        <v>36</v>
      </c>
      <c r="B37" s="7" t="s">
        <v>258</v>
      </c>
      <c r="C37" s="7" t="s">
        <v>241</v>
      </c>
      <c r="D37" s="7" t="s">
        <v>297</v>
      </c>
      <c r="E37" s="14" t="s">
        <v>203</v>
      </c>
      <c r="F37" s="7" t="s">
        <v>52</v>
      </c>
      <c r="G37" s="7" t="s">
        <v>260</v>
      </c>
      <c r="H37" s="7"/>
      <c r="I37" s="15"/>
      <c r="J37" s="15"/>
      <c r="K37" s="7"/>
      <c r="L37" s="7"/>
      <c r="M37" s="15" t="str">
        <f t="shared" si="0"/>
        <v/>
      </c>
      <c r="N37" s="15" t="str">
        <f t="shared" si="1"/>
        <v/>
      </c>
      <c r="O37" s="4" t="s">
        <v>298</v>
      </c>
      <c r="P37" s="4"/>
      <c r="Q37" s="4" t="s">
        <v>262</v>
      </c>
    </row>
    <row r="38" ht="14.4" spans="1:17">
      <c r="A38" s="13">
        <v>37</v>
      </c>
      <c r="B38" s="7" t="s">
        <v>258</v>
      </c>
      <c r="C38" s="7" t="s">
        <v>299</v>
      </c>
      <c r="D38" s="7" t="s">
        <v>300</v>
      </c>
      <c r="E38" s="14" t="s">
        <v>203</v>
      </c>
      <c r="F38" s="7" t="s">
        <v>52</v>
      </c>
      <c r="G38" s="7" t="s">
        <v>260</v>
      </c>
      <c r="H38" s="7">
        <v>14</v>
      </c>
      <c r="I38" s="15"/>
      <c r="J38" s="15"/>
      <c r="K38" s="7"/>
      <c r="L38" s="7"/>
      <c r="M38" s="15" t="str">
        <f t="shared" si="0"/>
        <v/>
      </c>
      <c r="N38" s="15" t="str">
        <f t="shared" si="1"/>
        <v/>
      </c>
      <c r="O38" s="4" t="s">
        <v>301</v>
      </c>
      <c r="P38" s="4"/>
      <c r="Q38" s="4" t="s">
        <v>262</v>
      </c>
    </row>
    <row r="39" ht="14.4" spans="1:17">
      <c r="A39" s="13">
        <v>38</v>
      </c>
      <c r="B39" s="7" t="s">
        <v>258</v>
      </c>
      <c r="C39" s="7" t="s">
        <v>299</v>
      </c>
      <c r="D39" s="7" t="s">
        <v>302</v>
      </c>
      <c r="E39" s="14" t="s">
        <v>203</v>
      </c>
      <c r="F39" s="7" t="s">
        <v>52</v>
      </c>
      <c r="G39" s="7" t="s">
        <v>260</v>
      </c>
      <c r="H39" s="7"/>
      <c r="I39" s="15"/>
      <c r="J39" s="15"/>
      <c r="K39" s="7"/>
      <c r="L39" s="7"/>
      <c r="M39" s="15" t="str">
        <f t="shared" si="0"/>
        <v/>
      </c>
      <c r="N39" s="15" t="str">
        <f t="shared" si="1"/>
        <v/>
      </c>
      <c r="O39" s="4" t="s">
        <v>303</v>
      </c>
      <c r="P39" s="4"/>
      <c r="Q39" s="4" t="s">
        <v>262</v>
      </c>
    </row>
    <row r="40" ht="14.4" spans="1:17">
      <c r="A40" s="13">
        <v>39</v>
      </c>
      <c r="B40" s="7" t="s">
        <v>258</v>
      </c>
      <c r="C40" s="7" t="s">
        <v>299</v>
      </c>
      <c r="D40" s="7" t="s">
        <v>304</v>
      </c>
      <c r="E40" s="14" t="s">
        <v>203</v>
      </c>
      <c r="F40" s="7" t="s">
        <v>52</v>
      </c>
      <c r="G40" s="7" t="s">
        <v>260</v>
      </c>
      <c r="H40" s="7">
        <v>14</v>
      </c>
      <c r="I40" s="15"/>
      <c r="J40" s="15"/>
      <c r="K40" s="7"/>
      <c r="L40" s="7"/>
      <c r="M40" s="15" t="str">
        <f t="shared" si="0"/>
        <v/>
      </c>
      <c r="N40" s="15" t="str">
        <f t="shared" si="1"/>
        <v/>
      </c>
      <c r="O40" s="4" t="s">
        <v>305</v>
      </c>
      <c r="P40" s="4"/>
      <c r="Q40" s="4" t="s">
        <v>262</v>
      </c>
    </row>
    <row r="41" ht="14.4" spans="1:17">
      <c r="A41" s="13">
        <v>40</v>
      </c>
      <c r="B41" s="7" t="s">
        <v>258</v>
      </c>
      <c r="C41" s="7" t="s">
        <v>306</v>
      </c>
      <c r="D41" s="7" t="s">
        <v>307</v>
      </c>
      <c r="E41" s="14" t="s">
        <v>203</v>
      </c>
      <c r="F41" s="7" t="s">
        <v>52</v>
      </c>
      <c r="G41" s="7" t="s">
        <v>260</v>
      </c>
      <c r="H41" s="7">
        <v>35</v>
      </c>
      <c r="I41" s="15"/>
      <c r="J41" s="15"/>
      <c r="K41" s="7"/>
      <c r="L41" s="7"/>
      <c r="M41" s="15" t="str">
        <f t="shared" si="0"/>
        <v/>
      </c>
      <c r="N41" s="15" t="str">
        <f t="shared" si="1"/>
        <v/>
      </c>
      <c r="O41" s="4" t="s">
        <v>308</v>
      </c>
      <c r="P41" s="4"/>
      <c r="Q41" s="4" t="s">
        <v>262</v>
      </c>
    </row>
    <row r="42" ht="14.4" spans="1:17">
      <c r="A42" s="13">
        <v>41</v>
      </c>
      <c r="B42" s="7" t="s">
        <v>258</v>
      </c>
      <c r="C42" s="7" t="s">
        <v>306</v>
      </c>
      <c r="D42" s="7" t="s">
        <v>309</v>
      </c>
      <c r="E42" s="14" t="s">
        <v>203</v>
      </c>
      <c r="F42" s="7" t="s">
        <v>52</v>
      </c>
      <c r="G42" s="7" t="s">
        <v>260</v>
      </c>
      <c r="H42" s="7"/>
      <c r="I42" s="15"/>
      <c r="J42" s="15"/>
      <c r="K42" s="7"/>
      <c r="L42" s="7"/>
      <c r="M42" s="15" t="str">
        <f t="shared" si="0"/>
        <v/>
      </c>
      <c r="N42" s="15" t="str">
        <f t="shared" si="1"/>
        <v/>
      </c>
      <c r="O42" s="4" t="s">
        <v>310</v>
      </c>
      <c r="P42" s="4"/>
      <c r="Q42" s="4" t="s">
        <v>262</v>
      </c>
    </row>
    <row r="43" ht="14.4" spans="1:17">
      <c r="A43" s="13">
        <v>42</v>
      </c>
      <c r="B43" s="7" t="s">
        <v>311</v>
      </c>
      <c r="C43" s="7" t="s">
        <v>215</v>
      </c>
      <c r="D43" s="7" t="s">
        <v>312</v>
      </c>
      <c r="E43" s="14" t="s">
        <v>203</v>
      </c>
      <c r="F43" s="7" t="s">
        <v>52</v>
      </c>
      <c r="G43" s="7" t="s">
        <v>313</v>
      </c>
      <c r="H43" s="7">
        <v>4</v>
      </c>
      <c r="I43" s="15"/>
      <c r="J43" s="15"/>
      <c r="K43" s="7"/>
      <c r="L43" s="7"/>
      <c r="M43" s="15" t="str">
        <f t="shared" si="0"/>
        <v/>
      </c>
      <c r="N43" s="15" t="str">
        <f t="shared" si="1"/>
        <v/>
      </c>
      <c r="O43" s="4" t="s">
        <v>314</v>
      </c>
      <c r="P43" s="4"/>
      <c r="Q43" s="4" t="s">
        <v>315</v>
      </c>
    </row>
    <row r="44" ht="14.4" spans="1:17">
      <c r="A44" s="13">
        <v>43</v>
      </c>
      <c r="B44" s="7" t="s">
        <v>311</v>
      </c>
      <c r="C44" s="7" t="s">
        <v>215</v>
      </c>
      <c r="D44" s="7" t="s">
        <v>316</v>
      </c>
      <c r="E44" s="14" t="s">
        <v>203</v>
      </c>
      <c r="F44" s="7" t="s">
        <v>52</v>
      </c>
      <c r="G44" s="7" t="s">
        <v>313</v>
      </c>
      <c r="H44" s="7">
        <v>4</v>
      </c>
      <c r="I44" s="15"/>
      <c r="J44" s="15"/>
      <c r="K44" s="7"/>
      <c r="L44" s="7"/>
      <c r="M44" s="15" t="str">
        <f t="shared" si="0"/>
        <v/>
      </c>
      <c r="N44" s="15" t="str">
        <f t="shared" si="1"/>
        <v/>
      </c>
      <c r="O44" s="4" t="s">
        <v>317</v>
      </c>
      <c r="P44" s="4"/>
      <c r="Q44" s="4" t="s">
        <v>315</v>
      </c>
    </row>
    <row r="45" ht="26.4" spans="1:17">
      <c r="A45" s="13">
        <v>44</v>
      </c>
      <c r="B45" s="7" t="s">
        <v>311</v>
      </c>
      <c r="C45" s="7" t="s">
        <v>215</v>
      </c>
      <c r="D45" s="7" t="s">
        <v>318</v>
      </c>
      <c r="E45" s="14" t="s">
        <v>203</v>
      </c>
      <c r="F45" s="7" t="s">
        <v>52</v>
      </c>
      <c r="G45" s="7" t="s">
        <v>313</v>
      </c>
      <c r="H45" s="7">
        <v>4</v>
      </c>
      <c r="I45" s="15"/>
      <c r="J45" s="15"/>
      <c r="K45" s="7"/>
      <c r="L45" s="7"/>
      <c r="M45" s="15" t="str">
        <f t="shared" si="0"/>
        <v/>
      </c>
      <c r="N45" s="15" t="str">
        <f t="shared" si="1"/>
        <v/>
      </c>
      <c r="O45" s="4" t="s">
        <v>319</v>
      </c>
      <c r="P45" s="4"/>
      <c r="Q45" s="4" t="s">
        <v>315</v>
      </c>
    </row>
    <row r="46" ht="14.4" spans="1:17">
      <c r="A46" s="13">
        <v>45</v>
      </c>
      <c r="B46" s="7" t="s">
        <v>311</v>
      </c>
      <c r="C46" s="7" t="s">
        <v>215</v>
      </c>
      <c r="D46" s="7" t="s">
        <v>320</v>
      </c>
      <c r="E46" s="14" t="s">
        <v>203</v>
      </c>
      <c r="F46" s="7" t="s">
        <v>52</v>
      </c>
      <c r="G46" s="7" t="s">
        <v>313</v>
      </c>
      <c r="H46" s="7"/>
      <c r="I46" s="15"/>
      <c r="J46" s="15"/>
      <c r="K46" s="7"/>
      <c r="L46" s="7"/>
      <c r="M46" s="15" t="str">
        <f t="shared" si="0"/>
        <v/>
      </c>
      <c r="N46" s="15" t="str">
        <f t="shared" si="1"/>
        <v/>
      </c>
      <c r="O46" s="4" t="s">
        <v>321</v>
      </c>
      <c r="P46" s="4"/>
      <c r="Q46" s="4" t="s">
        <v>315</v>
      </c>
    </row>
    <row r="47" ht="26.4" spans="1:17">
      <c r="A47" s="16">
        <v>46</v>
      </c>
      <c r="B47" s="7" t="s">
        <v>311</v>
      </c>
      <c r="C47" s="7" t="s">
        <v>215</v>
      </c>
      <c r="D47" s="7" t="s">
        <v>237</v>
      </c>
      <c r="E47" s="14" t="s">
        <v>203</v>
      </c>
      <c r="F47" s="7" t="s">
        <v>252</v>
      </c>
      <c r="G47" s="7" t="s">
        <v>217</v>
      </c>
      <c r="H47" s="7"/>
      <c r="I47" s="15"/>
      <c r="J47" s="15"/>
      <c r="K47" s="7"/>
      <c r="L47" s="7"/>
      <c r="M47" s="15" t="str">
        <f t="shared" si="0"/>
        <v/>
      </c>
      <c r="N47" s="15" t="str">
        <f t="shared" si="1"/>
        <v/>
      </c>
      <c r="O47" s="4" t="s">
        <v>322</v>
      </c>
      <c r="P47" s="4"/>
      <c r="Q47" s="4" t="s">
        <v>315</v>
      </c>
    </row>
    <row r="48" ht="14.4" spans="1:17">
      <c r="A48" s="13">
        <v>47</v>
      </c>
      <c r="B48" s="7" t="s">
        <v>311</v>
      </c>
      <c r="C48" s="7" t="s">
        <v>215</v>
      </c>
      <c r="D48" s="7" t="s">
        <v>323</v>
      </c>
      <c r="E48" s="14" t="s">
        <v>203</v>
      </c>
      <c r="F48" s="7" t="s">
        <v>52</v>
      </c>
      <c r="G48" s="7" t="s">
        <v>313</v>
      </c>
      <c r="H48" s="7">
        <v>4</v>
      </c>
      <c r="I48" s="15"/>
      <c r="J48" s="15"/>
      <c r="K48" s="7"/>
      <c r="L48" s="7"/>
      <c r="M48" s="15" t="str">
        <f t="shared" si="0"/>
        <v/>
      </c>
      <c r="N48" s="15" t="str">
        <f t="shared" si="1"/>
        <v/>
      </c>
      <c r="O48" s="4" t="s">
        <v>324</v>
      </c>
      <c r="P48" s="4"/>
      <c r="Q48" s="4" t="s">
        <v>315</v>
      </c>
    </row>
    <row r="49" ht="26.4" spans="1:17">
      <c r="A49" s="13">
        <v>48</v>
      </c>
      <c r="B49" s="7" t="s">
        <v>311</v>
      </c>
      <c r="C49" s="7" t="s">
        <v>215</v>
      </c>
      <c r="D49" s="7" t="s">
        <v>325</v>
      </c>
      <c r="E49" s="14" t="s">
        <v>203</v>
      </c>
      <c r="F49" s="7" t="s">
        <v>52</v>
      </c>
      <c r="G49" s="7" t="s">
        <v>313</v>
      </c>
      <c r="H49" s="7">
        <v>4</v>
      </c>
      <c r="I49" s="15"/>
      <c r="J49" s="15"/>
      <c r="K49" s="7"/>
      <c r="L49" s="7"/>
      <c r="M49" s="15" t="str">
        <f t="shared" si="0"/>
        <v/>
      </c>
      <c r="N49" s="15" t="str">
        <f t="shared" si="1"/>
        <v/>
      </c>
      <c r="O49" s="4" t="s">
        <v>326</v>
      </c>
      <c r="P49" s="4"/>
      <c r="Q49" s="4" t="s">
        <v>315</v>
      </c>
    </row>
    <row r="50" ht="26.4" spans="1:17">
      <c r="A50" s="13">
        <v>49</v>
      </c>
      <c r="B50" s="7" t="s">
        <v>311</v>
      </c>
      <c r="C50" s="7" t="s">
        <v>215</v>
      </c>
      <c r="D50" s="7" t="s">
        <v>327</v>
      </c>
      <c r="E50" s="14" t="s">
        <v>203</v>
      </c>
      <c r="F50" s="7" t="s">
        <v>52</v>
      </c>
      <c r="G50" s="7" t="s">
        <v>313</v>
      </c>
      <c r="H50" s="7">
        <v>4</v>
      </c>
      <c r="I50" s="15"/>
      <c r="J50" s="15"/>
      <c r="K50" s="7"/>
      <c r="L50" s="7"/>
      <c r="M50" s="15" t="str">
        <f t="shared" si="0"/>
        <v/>
      </c>
      <c r="N50" s="15" t="str">
        <f t="shared" si="1"/>
        <v/>
      </c>
      <c r="O50" s="4" t="s">
        <v>328</v>
      </c>
      <c r="P50" s="4"/>
      <c r="Q50" s="4" t="s">
        <v>315</v>
      </c>
    </row>
    <row r="51" ht="26.4" spans="1:17">
      <c r="A51" s="13">
        <v>50</v>
      </c>
      <c r="B51" s="7" t="s">
        <v>311</v>
      </c>
      <c r="C51" s="7" t="s">
        <v>226</v>
      </c>
      <c r="D51" s="7" t="s">
        <v>329</v>
      </c>
      <c r="E51" s="14" t="s">
        <v>203</v>
      </c>
      <c r="F51" s="7" t="s">
        <v>52</v>
      </c>
      <c r="G51" s="7" t="s">
        <v>313</v>
      </c>
      <c r="H51" s="7">
        <v>15</v>
      </c>
      <c r="I51" s="15"/>
      <c r="J51" s="15"/>
      <c r="K51" s="7"/>
      <c r="L51" s="7"/>
      <c r="M51" s="15" t="str">
        <f t="shared" si="0"/>
        <v/>
      </c>
      <c r="N51" s="15" t="str">
        <f t="shared" si="1"/>
        <v/>
      </c>
      <c r="O51" s="4" t="s">
        <v>330</v>
      </c>
      <c r="P51" s="4"/>
      <c r="Q51" s="4" t="s">
        <v>315</v>
      </c>
    </row>
    <row r="52" ht="26.4" spans="1:17">
      <c r="A52" s="13">
        <v>51</v>
      </c>
      <c r="B52" s="7" t="s">
        <v>311</v>
      </c>
      <c r="C52" s="7" t="s">
        <v>226</v>
      </c>
      <c r="D52" s="7" t="s">
        <v>331</v>
      </c>
      <c r="E52" s="14" t="s">
        <v>203</v>
      </c>
      <c r="F52" s="7" t="s">
        <v>52</v>
      </c>
      <c r="G52" s="7" t="s">
        <v>313</v>
      </c>
      <c r="H52" s="7">
        <v>15</v>
      </c>
      <c r="I52" s="15"/>
      <c r="J52" s="15"/>
      <c r="K52" s="7"/>
      <c r="L52" s="7"/>
      <c r="M52" s="15" t="str">
        <f t="shared" si="0"/>
        <v/>
      </c>
      <c r="N52" s="15" t="str">
        <f t="shared" si="1"/>
        <v/>
      </c>
      <c r="O52" s="4" t="s">
        <v>332</v>
      </c>
      <c r="P52" s="4"/>
      <c r="Q52" s="4" t="s">
        <v>315</v>
      </c>
    </row>
    <row r="53" ht="14.4" spans="1:17">
      <c r="A53" s="13">
        <v>52</v>
      </c>
      <c r="B53" s="7" t="s">
        <v>311</v>
      </c>
      <c r="C53" s="7" t="s">
        <v>226</v>
      </c>
      <c r="D53" s="7" t="s">
        <v>333</v>
      </c>
      <c r="E53" s="14" t="s">
        <v>203</v>
      </c>
      <c r="F53" s="7" t="s">
        <v>52</v>
      </c>
      <c r="G53" s="7" t="s">
        <v>313</v>
      </c>
      <c r="H53" s="7">
        <v>15</v>
      </c>
      <c r="I53" s="15"/>
      <c r="J53" s="15"/>
      <c r="K53" s="7"/>
      <c r="L53" s="7"/>
      <c r="M53" s="15" t="str">
        <f t="shared" si="0"/>
        <v/>
      </c>
      <c r="N53" s="15" t="str">
        <f t="shared" si="1"/>
        <v/>
      </c>
      <c r="O53" s="4" t="s">
        <v>334</v>
      </c>
      <c r="P53" s="4"/>
      <c r="Q53" s="4" t="s">
        <v>315</v>
      </c>
    </row>
    <row r="54" ht="26.4" spans="1:17">
      <c r="A54" s="13">
        <v>53</v>
      </c>
      <c r="B54" s="7" t="s">
        <v>311</v>
      </c>
      <c r="C54" s="7" t="s">
        <v>226</v>
      </c>
      <c r="D54" s="7" t="s">
        <v>335</v>
      </c>
      <c r="E54" s="14" t="s">
        <v>203</v>
      </c>
      <c r="F54" s="7" t="s">
        <v>52</v>
      </c>
      <c r="G54" s="7" t="s">
        <v>313</v>
      </c>
      <c r="H54" s="7"/>
      <c r="I54" s="15"/>
      <c r="J54" s="15"/>
      <c r="K54" s="7"/>
      <c r="L54" s="7"/>
      <c r="M54" s="15" t="str">
        <f t="shared" si="0"/>
        <v/>
      </c>
      <c r="N54" s="15" t="str">
        <f t="shared" si="1"/>
        <v/>
      </c>
      <c r="O54" s="4" t="s">
        <v>336</v>
      </c>
      <c r="P54" s="4"/>
      <c r="Q54" s="4" t="s">
        <v>315</v>
      </c>
    </row>
    <row r="55" ht="26.4" spans="1:17">
      <c r="A55" s="13">
        <v>54</v>
      </c>
      <c r="B55" s="7" t="s">
        <v>311</v>
      </c>
      <c r="C55" s="7" t="s">
        <v>226</v>
      </c>
      <c r="D55" s="7" t="s">
        <v>337</v>
      </c>
      <c r="E55" s="14" t="s">
        <v>203</v>
      </c>
      <c r="F55" s="7" t="s">
        <v>52</v>
      </c>
      <c r="G55" s="7" t="s">
        <v>313</v>
      </c>
      <c r="H55" s="7">
        <v>15</v>
      </c>
      <c r="I55" s="15"/>
      <c r="J55" s="15"/>
      <c r="K55" s="7"/>
      <c r="L55" s="7"/>
      <c r="M55" s="15" t="str">
        <f t="shared" si="0"/>
        <v/>
      </c>
      <c r="N55" s="15" t="str">
        <f t="shared" si="1"/>
        <v/>
      </c>
      <c r="O55" s="4" t="s">
        <v>338</v>
      </c>
      <c r="P55" s="4"/>
      <c r="Q55" s="4" t="s">
        <v>315</v>
      </c>
    </row>
    <row r="56" ht="26.4" spans="1:17">
      <c r="A56" s="13">
        <v>55</v>
      </c>
      <c r="B56" s="7" t="s">
        <v>311</v>
      </c>
      <c r="C56" s="7" t="s">
        <v>241</v>
      </c>
      <c r="D56" s="7" t="s">
        <v>339</v>
      </c>
      <c r="E56" s="14" t="s">
        <v>203</v>
      </c>
      <c r="F56" s="7" t="s">
        <v>52</v>
      </c>
      <c r="G56" s="7" t="s">
        <v>313</v>
      </c>
      <c r="H56" s="7">
        <v>27</v>
      </c>
      <c r="I56" s="15"/>
      <c r="J56" s="15"/>
      <c r="K56" s="7"/>
      <c r="L56" s="7"/>
      <c r="M56" s="15" t="str">
        <f t="shared" si="0"/>
        <v/>
      </c>
      <c r="N56" s="15" t="str">
        <f t="shared" si="1"/>
        <v/>
      </c>
      <c r="O56" s="4" t="s">
        <v>340</v>
      </c>
      <c r="P56" s="4"/>
      <c r="Q56" s="4" t="s">
        <v>315</v>
      </c>
    </row>
    <row r="57" ht="26.4" spans="1:17">
      <c r="A57" s="13">
        <v>56</v>
      </c>
      <c r="B57" s="7" t="s">
        <v>311</v>
      </c>
      <c r="C57" s="7" t="s">
        <v>241</v>
      </c>
      <c r="D57" s="7" t="s">
        <v>341</v>
      </c>
      <c r="E57" s="14" t="s">
        <v>203</v>
      </c>
      <c r="F57" s="7" t="s">
        <v>52</v>
      </c>
      <c r="G57" s="7" t="s">
        <v>313</v>
      </c>
      <c r="H57" s="7">
        <v>27</v>
      </c>
      <c r="I57" s="15"/>
      <c r="J57" s="15"/>
      <c r="K57" s="7"/>
      <c r="L57" s="7"/>
      <c r="M57" s="15" t="str">
        <f t="shared" si="0"/>
        <v/>
      </c>
      <c r="N57" s="15" t="str">
        <f t="shared" si="1"/>
        <v/>
      </c>
      <c r="O57" s="4" t="s">
        <v>342</v>
      </c>
      <c r="P57" s="4"/>
      <c r="Q57" s="4" t="s">
        <v>315</v>
      </c>
    </row>
    <row r="58" ht="26.4" spans="1:17">
      <c r="A58" s="16">
        <v>57</v>
      </c>
      <c r="B58" s="7" t="s">
        <v>311</v>
      </c>
      <c r="C58" s="7" t="s">
        <v>241</v>
      </c>
      <c r="D58" s="7" t="s">
        <v>343</v>
      </c>
      <c r="E58" s="14" t="s">
        <v>203</v>
      </c>
      <c r="F58" s="7" t="s">
        <v>252</v>
      </c>
      <c r="G58" s="7" t="s">
        <v>344</v>
      </c>
      <c r="H58" s="7"/>
      <c r="I58" s="15"/>
      <c r="J58" s="15"/>
      <c r="K58" s="7"/>
      <c r="L58" s="7"/>
      <c r="M58" s="15" t="str">
        <f t="shared" si="0"/>
        <v/>
      </c>
      <c r="N58" s="15" t="str">
        <f t="shared" si="1"/>
        <v/>
      </c>
      <c r="O58" s="4" t="s">
        <v>345</v>
      </c>
      <c r="P58" s="4"/>
      <c r="Q58" s="4" t="s">
        <v>315</v>
      </c>
    </row>
    <row r="59" ht="14.4" spans="1:17">
      <c r="A59" s="13">
        <v>58</v>
      </c>
      <c r="B59" s="7" t="s">
        <v>311</v>
      </c>
      <c r="C59" s="7" t="s">
        <v>299</v>
      </c>
      <c r="D59" s="7" t="s">
        <v>346</v>
      </c>
      <c r="E59" s="14" t="s">
        <v>203</v>
      </c>
      <c r="F59" s="7" t="s">
        <v>52</v>
      </c>
      <c r="G59" s="7" t="s">
        <v>313</v>
      </c>
      <c r="H59" s="7">
        <v>15</v>
      </c>
      <c r="I59" s="15"/>
      <c r="J59" s="15"/>
      <c r="K59" s="7"/>
      <c r="L59" s="7"/>
      <c r="M59" s="15" t="str">
        <f t="shared" si="0"/>
        <v/>
      </c>
      <c r="N59" s="15" t="str">
        <f t="shared" si="1"/>
        <v/>
      </c>
      <c r="O59" s="4" t="s">
        <v>347</v>
      </c>
      <c r="P59" s="4"/>
      <c r="Q59" s="4" t="s">
        <v>315</v>
      </c>
    </row>
    <row r="60" ht="14.4" spans="1:17">
      <c r="A60" s="13">
        <v>59</v>
      </c>
      <c r="B60" s="7" t="s">
        <v>311</v>
      </c>
      <c r="C60" s="7" t="s">
        <v>306</v>
      </c>
      <c r="D60" s="7" t="s">
        <v>348</v>
      </c>
      <c r="E60" s="14" t="s">
        <v>203</v>
      </c>
      <c r="F60" s="7" t="s">
        <v>52</v>
      </c>
      <c r="G60" s="7" t="s">
        <v>313</v>
      </c>
      <c r="H60" s="7">
        <v>35</v>
      </c>
      <c r="I60" s="15"/>
      <c r="J60" s="15"/>
      <c r="K60" s="7"/>
      <c r="L60" s="7"/>
      <c r="M60" s="15" t="str">
        <f t="shared" si="0"/>
        <v/>
      </c>
      <c r="N60" s="15" t="str">
        <f t="shared" si="1"/>
        <v/>
      </c>
      <c r="O60" s="4" t="s">
        <v>349</v>
      </c>
      <c r="P60" s="4"/>
      <c r="Q60" s="4" t="s">
        <v>315</v>
      </c>
    </row>
    <row r="61" ht="26.4" spans="1:17">
      <c r="A61" s="13">
        <v>60</v>
      </c>
      <c r="B61" s="7" t="s">
        <v>311</v>
      </c>
      <c r="C61" s="7" t="s">
        <v>306</v>
      </c>
      <c r="D61" s="7" t="s">
        <v>350</v>
      </c>
      <c r="E61" s="14" t="s">
        <v>203</v>
      </c>
      <c r="F61" s="7" t="s">
        <v>52</v>
      </c>
      <c r="G61" s="7" t="s">
        <v>313</v>
      </c>
      <c r="H61" s="7">
        <v>35</v>
      </c>
      <c r="I61" s="15"/>
      <c r="J61" s="15"/>
      <c r="K61" s="7"/>
      <c r="L61" s="7"/>
      <c r="M61" s="15" t="str">
        <f t="shared" si="0"/>
        <v/>
      </c>
      <c r="N61" s="15" t="str">
        <f t="shared" si="1"/>
        <v/>
      </c>
      <c r="O61" s="4" t="s">
        <v>351</v>
      </c>
      <c r="P61" s="4"/>
      <c r="Q61" s="4" t="s">
        <v>315</v>
      </c>
    </row>
    <row r="62" ht="14.4" spans="1:17">
      <c r="A62" s="13">
        <v>61</v>
      </c>
      <c r="B62" s="7" t="s">
        <v>311</v>
      </c>
      <c r="C62" s="7" t="s">
        <v>306</v>
      </c>
      <c r="D62" s="7" t="s">
        <v>352</v>
      </c>
      <c r="E62" s="14" t="s">
        <v>203</v>
      </c>
      <c r="F62" s="7" t="s">
        <v>52</v>
      </c>
      <c r="G62" s="7" t="s">
        <v>313</v>
      </c>
      <c r="H62" s="7">
        <v>27</v>
      </c>
      <c r="I62" s="15"/>
      <c r="J62" s="15"/>
      <c r="K62" s="7"/>
      <c r="L62" s="7"/>
      <c r="M62" s="15" t="str">
        <f t="shared" si="0"/>
        <v/>
      </c>
      <c r="N62" s="15" t="str">
        <f t="shared" si="1"/>
        <v/>
      </c>
      <c r="O62" s="4" t="s">
        <v>353</v>
      </c>
      <c r="P62" s="4"/>
      <c r="Q62" s="4" t="s">
        <v>315</v>
      </c>
    </row>
    <row r="63" ht="14.4" spans="1:17">
      <c r="A63" s="13">
        <v>62</v>
      </c>
      <c r="B63" s="7" t="s">
        <v>311</v>
      </c>
      <c r="C63" s="7" t="s">
        <v>306</v>
      </c>
      <c r="D63" s="7" t="s">
        <v>354</v>
      </c>
      <c r="E63" s="14" t="s">
        <v>203</v>
      </c>
      <c r="F63" s="7" t="s">
        <v>52</v>
      </c>
      <c r="G63" s="7" t="s">
        <v>313</v>
      </c>
      <c r="H63" s="7"/>
      <c r="I63" s="15"/>
      <c r="J63" s="15"/>
      <c r="K63" s="7"/>
      <c r="L63" s="7"/>
      <c r="M63" s="15" t="str">
        <f t="shared" si="0"/>
        <v/>
      </c>
      <c r="N63" s="15" t="str">
        <f t="shared" si="1"/>
        <v/>
      </c>
      <c r="O63" s="4" t="s">
        <v>355</v>
      </c>
      <c r="P63" s="4"/>
      <c r="Q63" s="4" t="s">
        <v>315</v>
      </c>
    </row>
    <row r="64" ht="14.4" spans="1:17">
      <c r="A64" s="13">
        <v>63</v>
      </c>
      <c r="B64" s="7" t="s">
        <v>311</v>
      </c>
      <c r="C64" s="7" t="s">
        <v>306</v>
      </c>
      <c r="D64" s="7" t="s">
        <v>356</v>
      </c>
      <c r="E64" s="14" t="s">
        <v>203</v>
      </c>
      <c r="F64" s="7" t="s">
        <v>52</v>
      </c>
      <c r="G64" s="7" t="s">
        <v>313</v>
      </c>
      <c r="H64" s="7">
        <v>27</v>
      </c>
      <c r="I64" s="15"/>
      <c r="J64" s="15"/>
      <c r="K64" s="7"/>
      <c r="L64" s="7"/>
      <c r="M64" s="15" t="str">
        <f t="shared" si="0"/>
        <v/>
      </c>
      <c r="N64" s="15" t="str">
        <f t="shared" si="1"/>
        <v/>
      </c>
      <c r="O64" s="4" t="s">
        <v>357</v>
      </c>
      <c r="P64" s="4"/>
      <c r="Q64" s="4" t="s">
        <v>315</v>
      </c>
    </row>
    <row r="65" ht="14.4" spans="1:17">
      <c r="A65" s="13">
        <v>64</v>
      </c>
      <c r="B65" s="7" t="s">
        <v>358</v>
      </c>
      <c r="C65" s="7" t="s">
        <v>215</v>
      </c>
      <c r="D65" s="7" t="s">
        <v>359</v>
      </c>
      <c r="E65" s="14" t="s">
        <v>203</v>
      </c>
      <c r="F65" s="7" t="s">
        <v>52</v>
      </c>
      <c r="G65" s="7" t="s">
        <v>344</v>
      </c>
      <c r="H65" s="7">
        <v>5</v>
      </c>
      <c r="I65" s="15"/>
      <c r="J65" s="15"/>
      <c r="K65" s="7"/>
      <c r="L65" s="7"/>
      <c r="M65" s="15" t="str">
        <f t="shared" si="0"/>
        <v/>
      </c>
      <c r="N65" s="15" t="str">
        <f t="shared" si="1"/>
        <v/>
      </c>
      <c r="O65" s="4" t="s">
        <v>360</v>
      </c>
      <c r="P65" s="4"/>
      <c r="Q65" s="4" t="s">
        <v>361</v>
      </c>
    </row>
    <row r="66" ht="14.4" spans="1:17">
      <c r="A66" s="13">
        <v>65</v>
      </c>
      <c r="B66" s="7" t="s">
        <v>358</v>
      </c>
      <c r="C66" s="7" t="s">
        <v>215</v>
      </c>
      <c r="D66" s="7" t="s">
        <v>362</v>
      </c>
      <c r="E66" s="14" t="s">
        <v>203</v>
      </c>
      <c r="F66" s="7" t="s">
        <v>52</v>
      </c>
      <c r="G66" s="7" t="s">
        <v>344</v>
      </c>
      <c r="H66" s="7">
        <v>5</v>
      </c>
      <c r="I66" s="15"/>
      <c r="J66" s="15"/>
      <c r="K66" s="7"/>
      <c r="L66" s="7"/>
      <c r="M66" s="15" t="str">
        <f t="shared" ref="M66:M129" si="2">IF(J66="","",J66+7)</f>
        <v/>
      </c>
      <c r="N66" s="15" t="str">
        <f t="shared" ref="N66:N129" si="3">IF(J66="","",J66+21)</f>
        <v/>
      </c>
      <c r="O66" s="4" t="s">
        <v>363</v>
      </c>
      <c r="P66" s="4"/>
      <c r="Q66" s="4" t="s">
        <v>361</v>
      </c>
    </row>
    <row r="67" ht="14.4" spans="1:17">
      <c r="A67" s="13">
        <v>66</v>
      </c>
      <c r="B67" s="7" t="s">
        <v>358</v>
      </c>
      <c r="C67" s="7" t="s">
        <v>215</v>
      </c>
      <c r="D67" s="7" t="s">
        <v>364</v>
      </c>
      <c r="E67" s="14" t="s">
        <v>203</v>
      </c>
      <c r="F67" s="7" t="s">
        <v>52</v>
      </c>
      <c r="G67" s="7" t="s">
        <v>344</v>
      </c>
      <c r="H67" s="7">
        <v>5</v>
      </c>
      <c r="I67" s="15"/>
      <c r="J67" s="15"/>
      <c r="K67" s="7"/>
      <c r="L67" s="7"/>
      <c r="M67" s="15" t="str">
        <f t="shared" si="2"/>
        <v/>
      </c>
      <c r="N67" s="15" t="str">
        <f t="shared" si="3"/>
        <v/>
      </c>
      <c r="O67" s="4" t="s">
        <v>365</v>
      </c>
      <c r="P67" s="4"/>
      <c r="Q67" s="4" t="s">
        <v>361</v>
      </c>
    </row>
    <row r="68" ht="26.4" spans="1:17">
      <c r="A68" s="13">
        <v>67</v>
      </c>
      <c r="B68" s="7" t="s">
        <v>358</v>
      </c>
      <c r="C68" s="7" t="s">
        <v>215</v>
      </c>
      <c r="D68" s="7" t="s">
        <v>366</v>
      </c>
      <c r="E68" s="14" t="s">
        <v>203</v>
      </c>
      <c r="F68" s="7" t="s">
        <v>52</v>
      </c>
      <c r="G68" s="7" t="s">
        <v>344</v>
      </c>
      <c r="H68" s="7">
        <v>5</v>
      </c>
      <c r="I68" s="15"/>
      <c r="J68" s="15"/>
      <c r="K68" s="7"/>
      <c r="L68" s="7"/>
      <c r="M68" s="15" t="str">
        <f t="shared" si="2"/>
        <v/>
      </c>
      <c r="N68" s="15" t="str">
        <f t="shared" si="3"/>
        <v/>
      </c>
      <c r="O68" s="4" t="s">
        <v>367</v>
      </c>
      <c r="P68" s="4"/>
      <c r="Q68" s="4" t="s">
        <v>361</v>
      </c>
    </row>
    <row r="69" ht="14.4" spans="1:17">
      <c r="A69" s="13">
        <v>68</v>
      </c>
      <c r="B69" s="7" t="s">
        <v>358</v>
      </c>
      <c r="C69" s="7" t="s">
        <v>215</v>
      </c>
      <c r="D69" s="7" t="s">
        <v>368</v>
      </c>
      <c r="E69" s="14" t="s">
        <v>203</v>
      </c>
      <c r="F69" s="7" t="s">
        <v>52</v>
      </c>
      <c r="G69" s="7" t="s">
        <v>344</v>
      </c>
      <c r="H69" s="7">
        <v>5</v>
      </c>
      <c r="I69" s="15"/>
      <c r="J69" s="15"/>
      <c r="K69" s="7"/>
      <c r="L69" s="7"/>
      <c r="M69" s="15" t="str">
        <f t="shared" si="2"/>
        <v/>
      </c>
      <c r="N69" s="15" t="str">
        <f t="shared" si="3"/>
        <v/>
      </c>
      <c r="O69" s="4" t="s">
        <v>369</v>
      </c>
      <c r="P69" s="4"/>
      <c r="Q69" s="4" t="s">
        <v>361</v>
      </c>
    </row>
    <row r="70" ht="14.4" spans="1:17">
      <c r="A70" s="13">
        <v>69</v>
      </c>
      <c r="B70" s="7" t="s">
        <v>358</v>
      </c>
      <c r="C70" s="7" t="s">
        <v>226</v>
      </c>
      <c r="D70" s="7" t="s">
        <v>370</v>
      </c>
      <c r="E70" s="14" t="s">
        <v>203</v>
      </c>
      <c r="F70" s="7" t="s">
        <v>52</v>
      </c>
      <c r="G70" s="7" t="s">
        <v>344</v>
      </c>
      <c r="H70" s="7">
        <v>9</v>
      </c>
      <c r="I70" s="15"/>
      <c r="J70" s="15"/>
      <c r="K70" s="7"/>
      <c r="L70" s="7"/>
      <c r="M70" s="15" t="str">
        <f t="shared" si="2"/>
        <v/>
      </c>
      <c r="N70" s="15" t="str">
        <f t="shared" si="3"/>
        <v/>
      </c>
      <c r="O70" s="4" t="s">
        <v>371</v>
      </c>
      <c r="P70" s="4"/>
      <c r="Q70" s="4" t="s">
        <v>361</v>
      </c>
    </row>
    <row r="71" ht="14.4" spans="1:17">
      <c r="A71" s="13">
        <v>70</v>
      </c>
      <c r="B71" s="7" t="s">
        <v>358</v>
      </c>
      <c r="C71" s="7" t="s">
        <v>226</v>
      </c>
      <c r="D71" s="7" t="s">
        <v>372</v>
      </c>
      <c r="E71" s="14" t="s">
        <v>203</v>
      </c>
      <c r="F71" s="7" t="s">
        <v>52</v>
      </c>
      <c r="G71" s="7" t="s">
        <v>344</v>
      </c>
      <c r="H71" s="7">
        <v>9</v>
      </c>
      <c r="I71" s="15"/>
      <c r="J71" s="15"/>
      <c r="K71" s="7"/>
      <c r="L71" s="7"/>
      <c r="M71" s="15" t="str">
        <f t="shared" si="2"/>
        <v/>
      </c>
      <c r="N71" s="15" t="str">
        <f t="shared" si="3"/>
        <v/>
      </c>
      <c r="O71" s="4" t="s">
        <v>373</v>
      </c>
      <c r="P71" s="4"/>
      <c r="Q71" s="4" t="s">
        <v>361</v>
      </c>
    </row>
    <row r="72" ht="26.4" spans="1:17">
      <c r="A72" s="13">
        <v>71</v>
      </c>
      <c r="B72" s="7" t="s">
        <v>358</v>
      </c>
      <c r="C72" s="7" t="s">
        <v>226</v>
      </c>
      <c r="D72" s="7" t="s">
        <v>374</v>
      </c>
      <c r="E72" s="14" t="s">
        <v>203</v>
      </c>
      <c r="F72" s="7" t="s">
        <v>52</v>
      </c>
      <c r="G72" s="7" t="s">
        <v>344</v>
      </c>
      <c r="H72" s="7"/>
      <c r="I72" s="15"/>
      <c r="J72" s="15"/>
      <c r="K72" s="7"/>
      <c r="L72" s="7"/>
      <c r="M72" s="15" t="str">
        <f t="shared" si="2"/>
        <v/>
      </c>
      <c r="N72" s="15" t="str">
        <f t="shared" si="3"/>
        <v/>
      </c>
      <c r="O72" s="4" t="s">
        <v>375</v>
      </c>
      <c r="P72" s="4"/>
      <c r="Q72" s="4" t="s">
        <v>361</v>
      </c>
    </row>
    <row r="73" ht="14.4" spans="1:17">
      <c r="A73" s="13">
        <v>72</v>
      </c>
      <c r="B73" s="7" t="s">
        <v>358</v>
      </c>
      <c r="C73" s="7" t="s">
        <v>226</v>
      </c>
      <c r="D73" s="7" t="s">
        <v>376</v>
      </c>
      <c r="E73" s="14" t="s">
        <v>203</v>
      </c>
      <c r="F73" s="7" t="s">
        <v>52</v>
      </c>
      <c r="G73" s="7" t="s">
        <v>344</v>
      </c>
      <c r="H73" s="7">
        <v>9</v>
      </c>
      <c r="I73" s="15"/>
      <c r="J73" s="15"/>
      <c r="K73" s="7"/>
      <c r="L73" s="7"/>
      <c r="M73" s="15" t="str">
        <f t="shared" si="2"/>
        <v/>
      </c>
      <c r="N73" s="15" t="str">
        <f t="shared" si="3"/>
        <v/>
      </c>
      <c r="O73" s="4" t="s">
        <v>377</v>
      </c>
      <c r="P73" s="4"/>
      <c r="Q73" s="4" t="s">
        <v>361</v>
      </c>
    </row>
    <row r="74" ht="14.4" spans="1:17">
      <c r="A74" s="13">
        <v>73</v>
      </c>
      <c r="B74" s="7" t="s">
        <v>358</v>
      </c>
      <c r="C74" s="7" t="s">
        <v>226</v>
      </c>
      <c r="D74" s="7" t="s">
        <v>378</v>
      </c>
      <c r="E74" s="14" t="s">
        <v>203</v>
      </c>
      <c r="F74" s="7" t="s">
        <v>52</v>
      </c>
      <c r="G74" s="7" t="s">
        <v>344</v>
      </c>
      <c r="H74" s="7"/>
      <c r="I74" s="15"/>
      <c r="J74" s="15"/>
      <c r="K74" s="7"/>
      <c r="L74" s="7"/>
      <c r="M74" s="15" t="str">
        <f t="shared" si="2"/>
        <v/>
      </c>
      <c r="N74" s="15" t="str">
        <f t="shared" si="3"/>
        <v/>
      </c>
      <c r="O74" s="4" t="s">
        <v>379</v>
      </c>
      <c r="P74" s="4"/>
      <c r="Q74" s="4" t="s">
        <v>361</v>
      </c>
    </row>
    <row r="75" ht="26.4" spans="1:17">
      <c r="A75" s="13">
        <v>74</v>
      </c>
      <c r="B75" s="7" t="s">
        <v>358</v>
      </c>
      <c r="C75" s="7" t="s">
        <v>226</v>
      </c>
      <c r="D75" s="7" t="s">
        <v>380</v>
      </c>
      <c r="E75" s="14" t="s">
        <v>203</v>
      </c>
      <c r="F75" s="7" t="s">
        <v>52</v>
      </c>
      <c r="G75" s="7" t="s">
        <v>344</v>
      </c>
      <c r="H75" s="7">
        <v>9</v>
      </c>
      <c r="I75" s="15"/>
      <c r="J75" s="15"/>
      <c r="K75" s="7"/>
      <c r="L75" s="7"/>
      <c r="M75" s="15" t="str">
        <f t="shared" si="2"/>
        <v/>
      </c>
      <c r="N75" s="15" t="str">
        <f t="shared" si="3"/>
        <v/>
      </c>
      <c r="O75" s="4" t="s">
        <v>381</v>
      </c>
      <c r="P75" s="4"/>
      <c r="Q75" s="4" t="s">
        <v>361</v>
      </c>
    </row>
    <row r="76" ht="14.4" spans="1:17">
      <c r="A76" s="13">
        <v>75</v>
      </c>
      <c r="B76" s="7" t="s">
        <v>358</v>
      </c>
      <c r="C76" s="7" t="s">
        <v>226</v>
      </c>
      <c r="D76" s="7" t="s">
        <v>382</v>
      </c>
      <c r="E76" s="14" t="s">
        <v>203</v>
      </c>
      <c r="F76" s="7" t="s">
        <v>52</v>
      </c>
      <c r="G76" s="7" t="s">
        <v>344</v>
      </c>
      <c r="H76" s="7">
        <v>9</v>
      </c>
      <c r="I76" s="15"/>
      <c r="J76" s="15"/>
      <c r="K76" s="7"/>
      <c r="L76" s="7"/>
      <c r="M76" s="15" t="str">
        <f t="shared" si="2"/>
        <v/>
      </c>
      <c r="N76" s="15" t="str">
        <f t="shared" si="3"/>
        <v/>
      </c>
      <c r="O76" s="4" t="s">
        <v>383</v>
      </c>
      <c r="P76" s="4"/>
      <c r="Q76" s="4" t="s">
        <v>361</v>
      </c>
    </row>
    <row r="77" ht="26.4" spans="1:17">
      <c r="A77" s="13">
        <v>76</v>
      </c>
      <c r="B77" s="7" t="s">
        <v>358</v>
      </c>
      <c r="C77" s="7" t="s">
        <v>241</v>
      </c>
      <c r="D77" s="7" t="s">
        <v>384</v>
      </c>
      <c r="E77" s="14" t="s">
        <v>203</v>
      </c>
      <c r="F77" s="7" t="s">
        <v>52</v>
      </c>
      <c r="G77" s="7" t="s">
        <v>344</v>
      </c>
      <c r="H77" s="7">
        <v>28</v>
      </c>
      <c r="I77" s="15"/>
      <c r="J77" s="15"/>
      <c r="K77" s="7"/>
      <c r="L77" s="7"/>
      <c r="M77" s="15" t="str">
        <f t="shared" si="2"/>
        <v/>
      </c>
      <c r="N77" s="15" t="str">
        <f t="shared" si="3"/>
        <v/>
      </c>
      <c r="O77" s="4" t="s">
        <v>385</v>
      </c>
      <c r="P77" s="4"/>
      <c r="Q77" s="4" t="s">
        <v>361</v>
      </c>
    </row>
    <row r="78" ht="26.4" spans="1:17">
      <c r="A78" s="13">
        <v>77</v>
      </c>
      <c r="B78" s="7" t="s">
        <v>358</v>
      </c>
      <c r="C78" s="7" t="s">
        <v>241</v>
      </c>
      <c r="D78" s="7" t="s">
        <v>386</v>
      </c>
      <c r="E78" s="14" t="s">
        <v>203</v>
      </c>
      <c r="F78" s="7" t="s">
        <v>52</v>
      </c>
      <c r="G78" s="7" t="s">
        <v>344</v>
      </c>
      <c r="H78" s="7">
        <v>28</v>
      </c>
      <c r="I78" s="15"/>
      <c r="J78" s="15"/>
      <c r="K78" s="7"/>
      <c r="L78" s="7"/>
      <c r="M78" s="15" t="str">
        <f t="shared" si="2"/>
        <v/>
      </c>
      <c r="N78" s="15" t="str">
        <f t="shared" si="3"/>
        <v/>
      </c>
      <c r="O78" s="4" t="s">
        <v>387</v>
      </c>
      <c r="P78" s="4"/>
      <c r="Q78" s="4" t="s">
        <v>361</v>
      </c>
    </row>
    <row r="79" ht="26.4" spans="1:17">
      <c r="A79" s="13">
        <v>78</v>
      </c>
      <c r="B79" s="7" t="s">
        <v>358</v>
      </c>
      <c r="C79" s="7" t="s">
        <v>241</v>
      </c>
      <c r="D79" s="7" t="s">
        <v>343</v>
      </c>
      <c r="E79" s="14" t="s">
        <v>203</v>
      </c>
      <c r="F79" s="7" t="s">
        <v>52</v>
      </c>
      <c r="G79" s="7" t="s">
        <v>344</v>
      </c>
      <c r="H79" s="7">
        <v>28</v>
      </c>
      <c r="I79" s="15"/>
      <c r="J79" s="15"/>
      <c r="K79" s="7"/>
      <c r="L79" s="7"/>
      <c r="M79" s="15" t="str">
        <f t="shared" si="2"/>
        <v/>
      </c>
      <c r="N79" s="15" t="str">
        <f t="shared" si="3"/>
        <v/>
      </c>
      <c r="O79" s="4" t="s">
        <v>388</v>
      </c>
      <c r="P79" s="4"/>
      <c r="Q79" s="4" t="s">
        <v>361</v>
      </c>
    </row>
    <row r="80" ht="14.4" spans="1:17">
      <c r="A80" s="13">
        <v>79</v>
      </c>
      <c r="B80" s="7" t="s">
        <v>358</v>
      </c>
      <c r="C80" s="7" t="s">
        <v>299</v>
      </c>
      <c r="D80" s="7" t="s">
        <v>389</v>
      </c>
      <c r="E80" s="14" t="s">
        <v>203</v>
      </c>
      <c r="F80" s="7" t="s">
        <v>52</v>
      </c>
      <c r="G80" s="7" t="s">
        <v>344</v>
      </c>
      <c r="H80" s="7"/>
      <c r="I80" s="15"/>
      <c r="J80" s="15"/>
      <c r="K80" s="7"/>
      <c r="L80" s="7"/>
      <c r="M80" s="15" t="str">
        <f t="shared" si="2"/>
        <v/>
      </c>
      <c r="N80" s="15" t="str">
        <f t="shared" si="3"/>
        <v/>
      </c>
      <c r="O80" s="4" t="s">
        <v>390</v>
      </c>
      <c r="P80" s="4"/>
      <c r="Q80" s="4" t="s">
        <v>361</v>
      </c>
    </row>
    <row r="81" ht="14.4" spans="1:17">
      <c r="A81" s="13">
        <v>80</v>
      </c>
      <c r="B81" s="7" t="s">
        <v>358</v>
      </c>
      <c r="C81" s="7" t="s">
        <v>299</v>
      </c>
      <c r="D81" s="7" t="s">
        <v>391</v>
      </c>
      <c r="E81" s="14" t="s">
        <v>203</v>
      </c>
      <c r="F81" s="7" t="s">
        <v>52</v>
      </c>
      <c r="G81" s="7" t="s">
        <v>344</v>
      </c>
      <c r="H81" s="7"/>
      <c r="I81" s="15"/>
      <c r="J81" s="15"/>
      <c r="K81" s="7"/>
      <c r="L81" s="7"/>
      <c r="M81" s="15" t="str">
        <f t="shared" si="2"/>
        <v/>
      </c>
      <c r="N81" s="15" t="str">
        <f t="shared" si="3"/>
        <v/>
      </c>
      <c r="O81" s="4" t="s">
        <v>392</v>
      </c>
      <c r="P81" s="4"/>
      <c r="Q81" s="4" t="s">
        <v>361</v>
      </c>
    </row>
    <row r="82" ht="14.4" spans="1:17">
      <c r="A82" s="13">
        <v>81</v>
      </c>
      <c r="B82" s="7" t="s">
        <v>358</v>
      </c>
      <c r="C82" s="7" t="s">
        <v>306</v>
      </c>
      <c r="D82" s="7" t="s">
        <v>393</v>
      </c>
      <c r="E82" s="14" t="s">
        <v>203</v>
      </c>
      <c r="F82" s="7" t="s">
        <v>52</v>
      </c>
      <c r="G82" s="7" t="s">
        <v>344</v>
      </c>
      <c r="H82" s="7">
        <v>28</v>
      </c>
      <c r="I82" s="15"/>
      <c r="J82" s="15"/>
      <c r="K82" s="7"/>
      <c r="L82" s="7"/>
      <c r="M82" s="15" t="str">
        <f t="shared" si="2"/>
        <v/>
      </c>
      <c r="N82" s="15" t="str">
        <f t="shared" si="3"/>
        <v/>
      </c>
      <c r="O82" s="4" t="s">
        <v>394</v>
      </c>
      <c r="P82" s="4"/>
      <c r="Q82" s="4" t="s">
        <v>361</v>
      </c>
    </row>
    <row r="83" ht="14.4" spans="1:17">
      <c r="A83" s="13">
        <v>82</v>
      </c>
      <c r="B83" s="7" t="s">
        <v>358</v>
      </c>
      <c r="C83" s="7" t="s">
        <v>306</v>
      </c>
      <c r="D83" s="7" t="s">
        <v>395</v>
      </c>
      <c r="E83" s="14" t="s">
        <v>203</v>
      </c>
      <c r="F83" s="7" t="s">
        <v>52</v>
      </c>
      <c r="G83" s="7" t="s">
        <v>344</v>
      </c>
      <c r="H83" s="7"/>
      <c r="I83" s="15"/>
      <c r="J83" s="15"/>
      <c r="K83" s="7"/>
      <c r="L83" s="7"/>
      <c r="M83" s="15" t="str">
        <f t="shared" si="2"/>
        <v/>
      </c>
      <c r="N83" s="15" t="str">
        <f t="shared" si="3"/>
        <v/>
      </c>
      <c r="O83" s="4" t="s">
        <v>396</v>
      </c>
      <c r="P83" s="4"/>
      <c r="Q83" s="4" t="s">
        <v>361</v>
      </c>
    </row>
    <row r="84" ht="14.4" spans="1:17">
      <c r="A84" s="13">
        <v>83</v>
      </c>
      <c r="B84" s="7" t="s">
        <v>358</v>
      </c>
      <c r="C84" s="7" t="s">
        <v>306</v>
      </c>
      <c r="D84" s="7" t="s">
        <v>397</v>
      </c>
      <c r="E84" s="14" t="s">
        <v>203</v>
      </c>
      <c r="F84" s="7" t="s">
        <v>52</v>
      </c>
      <c r="G84" s="7" t="s">
        <v>344</v>
      </c>
      <c r="H84" s="7"/>
      <c r="I84" s="15"/>
      <c r="J84" s="15"/>
      <c r="K84" s="7"/>
      <c r="L84" s="7"/>
      <c r="M84" s="15" t="str">
        <f t="shared" si="2"/>
        <v/>
      </c>
      <c r="N84" s="15" t="str">
        <f t="shared" si="3"/>
        <v/>
      </c>
      <c r="O84" s="4" t="s">
        <v>398</v>
      </c>
      <c r="P84" s="4"/>
      <c r="Q84" s="4" t="s">
        <v>361</v>
      </c>
    </row>
    <row r="85" ht="14.4" spans="1:17">
      <c r="A85" s="13">
        <v>84</v>
      </c>
      <c r="B85" s="7" t="s">
        <v>399</v>
      </c>
      <c r="C85" s="7" t="s">
        <v>215</v>
      </c>
      <c r="D85" s="7" t="s">
        <v>400</v>
      </c>
      <c r="E85" s="14" t="s">
        <v>203</v>
      </c>
      <c r="F85" s="7" t="s">
        <v>52</v>
      </c>
      <c r="G85" s="7" t="s">
        <v>401</v>
      </c>
      <c r="H85" s="7">
        <v>6</v>
      </c>
      <c r="I85" s="15"/>
      <c r="J85" s="15"/>
      <c r="K85" s="7"/>
      <c r="L85" s="7"/>
      <c r="M85" s="15" t="str">
        <f t="shared" si="2"/>
        <v/>
      </c>
      <c r="N85" s="15" t="str">
        <f t="shared" si="3"/>
        <v/>
      </c>
      <c r="O85" s="4" t="s">
        <v>402</v>
      </c>
      <c r="P85" s="4"/>
      <c r="Q85" s="4" t="s">
        <v>403</v>
      </c>
    </row>
    <row r="86" ht="14.4" spans="1:17">
      <c r="A86" s="13">
        <v>85</v>
      </c>
      <c r="B86" s="7" t="s">
        <v>399</v>
      </c>
      <c r="C86" s="7" t="s">
        <v>215</v>
      </c>
      <c r="D86" s="7" t="s">
        <v>404</v>
      </c>
      <c r="E86" s="14" t="s">
        <v>203</v>
      </c>
      <c r="F86" s="7" t="s">
        <v>52</v>
      </c>
      <c r="G86" s="7" t="s">
        <v>401</v>
      </c>
      <c r="H86" s="7">
        <v>6</v>
      </c>
      <c r="I86" s="15"/>
      <c r="J86" s="15"/>
      <c r="K86" s="7"/>
      <c r="L86" s="7"/>
      <c r="M86" s="15" t="str">
        <f t="shared" si="2"/>
        <v/>
      </c>
      <c r="N86" s="15" t="str">
        <f t="shared" si="3"/>
        <v/>
      </c>
      <c r="O86" s="4" t="s">
        <v>405</v>
      </c>
      <c r="P86" s="4"/>
      <c r="Q86" s="4" t="s">
        <v>403</v>
      </c>
    </row>
    <row r="87" ht="14.4" spans="1:17">
      <c r="A87" s="13">
        <v>86</v>
      </c>
      <c r="B87" s="7" t="s">
        <v>399</v>
      </c>
      <c r="C87" s="7" t="s">
        <v>215</v>
      </c>
      <c r="D87" s="7" t="s">
        <v>406</v>
      </c>
      <c r="E87" s="14" t="s">
        <v>203</v>
      </c>
      <c r="F87" s="7" t="s">
        <v>52</v>
      </c>
      <c r="G87" s="7" t="s">
        <v>401</v>
      </c>
      <c r="H87" s="7">
        <v>6</v>
      </c>
      <c r="I87" s="15"/>
      <c r="J87" s="15"/>
      <c r="K87" s="7"/>
      <c r="L87" s="7"/>
      <c r="M87" s="15" t="str">
        <f t="shared" si="2"/>
        <v/>
      </c>
      <c r="N87" s="15" t="str">
        <f t="shared" si="3"/>
        <v/>
      </c>
      <c r="O87" s="4" t="s">
        <v>407</v>
      </c>
      <c r="P87" s="4"/>
      <c r="Q87" s="4" t="s">
        <v>403</v>
      </c>
    </row>
    <row r="88" ht="14.4" spans="1:17">
      <c r="A88" s="13">
        <v>87</v>
      </c>
      <c r="B88" s="7" t="s">
        <v>399</v>
      </c>
      <c r="C88" s="7" t="s">
        <v>215</v>
      </c>
      <c r="D88" s="7" t="s">
        <v>408</v>
      </c>
      <c r="E88" s="14" t="s">
        <v>203</v>
      </c>
      <c r="F88" s="7" t="s">
        <v>52</v>
      </c>
      <c r="G88" s="7" t="s">
        <v>401</v>
      </c>
      <c r="H88" s="7">
        <v>6</v>
      </c>
      <c r="I88" s="15"/>
      <c r="J88" s="15"/>
      <c r="K88" s="7"/>
      <c r="L88" s="7"/>
      <c r="M88" s="15" t="str">
        <f t="shared" si="2"/>
        <v/>
      </c>
      <c r="N88" s="15" t="str">
        <f t="shared" si="3"/>
        <v/>
      </c>
      <c r="O88" s="4" t="s">
        <v>409</v>
      </c>
      <c r="P88" s="4"/>
      <c r="Q88" s="4" t="s">
        <v>403</v>
      </c>
    </row>
    <row r="89" ht="26.4" spans="1:17">
      <c r="A89" s="13">
        <v>88</v>
      </c>
      <c r="B89" s="7" t="s">
        <v>399</v>
      </c>
      <c r="C89" s="7" t="s">
        <v>215</v>
      </c>
      <c r="D89" s="7" t="s">
        <v>410</v>
      </c>
      <c r="E89" s="14" t="s">
        <v>203</v>
      </c>
      <c r="F89" s="7" t="s">
        <v>52</v>
      </c>
      <c r="G89" s="7" t="s">
        <v>401</v>
      </c>
      <c r="H89" s="7">
        <v>6</v>
      </c>
      <c r="I89" s="15"/>
      <c r="J89" s="15"/>
      <c r="K89" s="7"/>
      <c r="L89" s="7"/>
      <c r="M89" s="15" t="str">
        <f t="shared" si="2"/>
        <v/>
      </c>
      <c r="N89" s="15" t="str">
        <f t="shared" si="3"/>
        <v/>
      </c>
      <c r="O89" s="4" t="s">
        <v>411</v>
      </c>
      <c r="P89" s="4"/>
      <c r="Q89" s="4" t="s">
        <v>403</v>
      </c>
    </row>
    <row r="90" ht="14.4" spans="1:17">
      <c r="A90" s="13">
        <v>89</v>
      </c>
      <c r="B90" s="7" t="s">
        <v>399</v>
      </c>
      <c r="C90" s="7" t="s">
        <v>226</v>
      </c>
      <c r="D90" s="7" t="s">
        <v>412</v>
      </c>
      <c r="E90" s="14" t="s">
        <v>203</v>
      </c>
      <c r="F90" s="7" t="s">
        <v>52</v>
      </c>
      <c r="G90" s="7" t="s">
        <v>401</v>
      </c>
      <c r="H90" s="7"/>
      <c r="I90" s="15"/>
      <c r="J90" s="15"/>
      <c r="K90" s="7"/>
      <c r="L90" s="7"/>
      <c r="M90" s="15" t="str">
        <f t="shared" si="2"/>
        <v/>
      </c>
      <c r="N90" s="15" t="str">
        <f t="shared" si="3"/>
        <v/>
      </c>
      <c r="O90" s="4" t="s">
        <v>413</v>
      </c>
      <c r="P90" s="4"/>
      <c r="Q90" s="4" t="s">
        <v>403</v>
      </c>
    </row>
    <row r="91" ht="14.4" spans="1:17">
      <c r="A91" s="13">
        <v>90</v>
      </c>
      <c r="B91" s="7" t="s">
        <v>399</v>
      </c>
      <c r="C91" s="7" t="s">
        <v>226</v>
      </c>
      <c r="D91" s="7" t="s">
        <v>414</v>
      </c>
      <c r="E91" s="14" t="s">
        <v>203</v>
      </c>
      <c r="F91" s="7" t="s">
        <v>52</v>
      </c>
      <c r="G91" s="7" t="s">
        <v>401</v>
      </c>
      <c r="H91" s="7"/>
      <c r="I91" s="15"/>
      <c r="J91" s="15"/>
      <c r="K91" s="7"/>
      <c r="L91" s="7"/>
      <c r="M91" s="15" t="str">
        <f t="shared" si="2"/>
        <v/>
      </c>
      <c r="N91" s="15" t="str">
        <f t="shared" si="3"/>
        <v/>
      </c>
      <c r="O91" s="4" t="s">
        <v>415</v>
      </c>
      <c r="P91" s="4"/>
      <c r="Q91" s="4" t="s">
        <v>403</v>
      </c>
    </row>
    <row r="92" ht="14.4" spans="1:17">
      <c r="A92" s="13">
        <v>91</v>
      </c>
      <c r="B92" s="7" t="s">
        <v>399</v>
      </c>
      <c r="C92" s="7" t="s">
        <v>226</v>
      </c>
      <c r="D92" s="7" t="s">
        <v>416</v>
      </c>
      <c r="E92" s="14" t="s">
        <v>203</v>
      </c>
      <c r="F92" s="7" t="s">
        <v>52</v>
      </c>
      <c r="G92" s="7" t="s">
        <v>401</v>
      </c>
      <c r="H92" s="7"/>
      <c r="I92" s="15"/>
      <c r="J92" s="15"/>
      <c r="K92" s="7"/>
      <c r="L92" s="7"/>
      <c r="M92" s="15" t="str">
        <f t="shared" si="2"/>
        <v/>
      </c>
      <c r="N92" s="15" t="str">
        <f t="shared" si="3"/>
        <v/>
      </c>
      <c r="O92" s="4" t="s">
        <v>417</v>
      </c>
      <c r="P92" s="4"/>
      <c r="Q92" s="4" t="s">
        <v>403</v>
      </c>
    </row>
    <row r="93" ht="14.4" spans="1:17">
      <c r="A93" s="13">
        <v>92</v>
      </c>
      <c r="B93" s="7" t="s">
        <v>399</v>
      </c>
      <c r="C93" s="7" t="s">
        <v>226</v>
      </c>
      <c r="D93" s="7" t="s">
        <v>418</v>
      </c>
      <c r="E93" s="14" t="s">
        <v>203</v>
      </c>
      <c r="F93" s="7" t="s">
        <v>52</v>
      </c>
      <c r="G93" s="7" t="s">
        <v>401</v>
      </c>
      <c r="H93" s="7"/>
      <c r="I93" s="15"/>
      <c r="J93" s="15"/>
      <c r="K93" s="7"/>
      <c r="L93" s="7"/>
      <c r="M93" s="15" t="str">
        <f t="shared" si="2"/>
        <v/>
      </c>
      <c r="N93" s="15" t="str">
        <f t="shared" si="3"/>
        <v/>
      </c>
      <c r="O93" s="4" t="s">
        <v>419</v>
      </c>
      <c r="P93" s="4"/>
      <c r="Q93" s="4" t="s">
        <v>403</v>
      </c>
    </row>
    <row r="94" ht="14.4" spans="1:17">
      <c r="A94" s="13">
        <v>93</v>
      </c>
      <c r="B94" s="7" t="s">
        <v>399</v>
      </c>
      <c r="C94" s="7" t="s">
        <v>226</v>
      </c>
      <c r="D94" s="7" t="s">
        <v>420</v>
      </c>
      <c r="E94" s="14" t="s">
        <v>203</v>
      </c>
      <c r="F94" s="7" t="s">
        <v>52</v>
      </c>
      <c r="G94" s="7" t="s">
        <v>401</v>
      </c>
      <c r="H94" s="7"/>
      <c r="I94" s="15"/>
      <c r="J94" s="15"/>
      <c r="K94" s="7"/>
      <c r="L94" s="7"/>
      <c r="M94" s="15" t="str">
        <f t="shared" si="2"/>
        <v/>
      </c>
      <c r="N94" s="15" t="str">
        <f t="shared" si="3"/>
        <v/>
      </c>
      <c r="O94" s="4" t="s">
        <v>421</v>
      </c>
      <c r="P94" s="4"/>
      <c r="Q94" s="4" t="s">
        <v>403</v>
      </c>
    </row>
    <row r="95" ht="26.4" spans="1:17">
      <c r="A95" s="13">
        <v>94</v>
      </c>
      <c r="B95" s="7" t="s">
        <v>399</v>
      </c>
      <c r="C95" s="7" t="s">
        <v>226</v>
      </c>
      <c r="D95" s="7" t="s">
        <v>422</v>
      </c>
      <c r="E95" s="14" t="s">
        <v>203</v>
      </c>
      <c r="F95" s="7" t="s">
        <v>52</v>
      </c>
      <c r="G95" s="7" t="s">
        <v>401</v>
      </c>
      <c r="H95" s="7">
        <v>12</v>
      </c>
      <c r="I95" s="15"/>
      <c r="J95" s="15"/>
      <c r="K95" s="7"/>
      <c r="L95" s="7"/>
      <c r="M95" s="15" t="str">
        <f t="shared" si="2"/>
        <v/>
      </c>
      <c r="N95" s="15" t="str">
        <f t="shared" si="3"/>
        <v/>
      </c>
      <c r="O95" s="4" t="s">
        <v>423</v>
      </c>
      <c r="P95" s="4"/>
      <c r="Q95" s="4" t="s">
        <v>403</v>
      </c>
    </row>
    <row r="96" ht="14.4" spans="1:17">
      <c r="A96" s="13">
        <v>95</v>
      </c>
      <c r="B96" s="7" t="s">
        <v>399</v>
      </c>
      <c r="C96" s="7" t="s">
        <v>241</v>
      </c>
      <c r="D96" s="7" t="s">
        <v>424</v>
      </c>
      <c r="E96" s="14" t="s">
        <v>203</v>
      </c>
      <c r="F96" s="7" t="s">
        <v>52</v>
      </c>
      <c r="G96" s="7" t="s">
        <v>401</v>
      </c>
      <c r="H96" s="7">
        <v>12</v>
      </c>
      <c r="I96" s="15"/>
      <c r="J96" s="15"/>
      <c r="K96" s="7"/>
      <c r="L96" s="7"/>
      <c r="M96" s="15" t="str">
        <f t="shared" si="2"/>
        <v/>
      </c>
      <c r="N96" s="15" t="str">
        <f t="shared" si="3"/>
        <v/>
      </c>
      <c r="O96" s="4" t="s">
        <v>425</v>
      </c>
      <c r="P96" s="4"/>
      <c r="Q96" s="4" t="s">
        <v>403</v>
      </c>
    </row>
    <row r="97" ht="14.4" spans="1:17">
      <c r="A97" s="13">
        <v>96</v>
      </c>
      <c r="B97" s="7" t="s">
        <v>399</v>
      </c>
      <c r="C97" s="7" t="s">
        <v>241</v>
      </c>
      <c r="D97" s="7" t="s">
        <v>426</v>
      </c>
      <c r="E97" s="14" t="s">
        <v>203</v>
      </c>
      <c r="F97" s="7" t="s">
        <v>52</v>
      </c>
      <c r="G97" s="7" t="s">
        <v>401</v>
      </c>
      <c r="H97" s="7">
        <v>12</v>
      </c>
      <c r="I97" s="15"/>
      <c r="J97" s="15"/>
      <c r="K97" s="7"/>
      <c r="L97" s="7"/>
      <c r="M97" s="15" t="str">
        <f t="shared" si="2"/>
        <v/>
      </c>
      <c r="N97" s="15" t="str">
        <f t="shared" si="3"/>
        <v/>
      </c>
      <c r="O97" s="4" t="s">
        <v>427</v>
      </c>
      <c r="P97" s="4"/>
      <c r="Q97" s="4" t="s">
        <v>403</v>
      </c>
    </row>
    <row r="98" ht="14.4" spans="1:17">
      <c r="A98" s="13">
        <v>97</v>
      </c>
      <c r="B98" s="7" t="s">
        <v>399</v>
      </c>
      <c r="C98" s="7" t="s">
        <v>241</v>
      </c>
      <c r="D98" s="7" t="s">
        <v>428</v>
      </c>
      <c r="E98" s="14" t="s">
        <v>203</v>
      </c>
      <c r="F98" s="7" t="s">
        <v>52</v>
      </c>
      <c r="G98" s="7" t="s">
        <v>401</v>
      </c>
      <c r="H98" s="7"/>
      <c r="I98" s="15"/>
      <c r="J98" s="15"/>
      <c r="K98" s="7"/>
      <c r="L98" s="7"/>
      <c r="M98" s="15" t="str">
        <f t="shared" si="2"/>
        <v/>
      </c>
      <c r="N98" s="15" t="str">
        <f t="shared" si="3"/>
        <v/>
      </c>
      <c r="O98" s="4" t="s">
        <v>429</v>
      </c>
      <c r="P98" s="4"/>
      <c r="Q98" s="4" t="s">
        <v>403</v>
      </c>
    </row>
    <row r="99" ht="26.4" spans="1:17">
      <c r="A99" s="13">
        <v>98</v>
      </c>
      <c r="B99" s="7" t="s">
        <v>399</v>
      </c>
      <c r="C99" s="7" t="s">
        <v>241</v>
      </c>
      <c r="D99" s="7" t="s">
        <v>430</v>
      </c>
      <c r="E99" s="14" t="s">
        <v>203</v>
      </c>
      <c r="F99" s="7" t="s">
        <v>52</v>
      </c>
      <c r="G99" s="7" t="s">
        <v>401</v>
      </c>
      <c r="H99" s="7">
        <v>12</v>
      </c>
      <c r="I99" s="15"/>
      <c r="J99" s="15"/>
      <c r="K99" s="7"/>
      <c r="L99" s="7"/>
      <c r="M99" s="15" t="str">
        <f t="shared" si="2"/>
        <v/>
      </c>
      <c r="N99" s="15" t="str">
        <f t="shared" si="3"/>
        <v/>
      </c>
      <c r="O99" s="4" t="s">
        <v>431</v>
      </c>
      <c r="P99" s="4"/>
      <c r="Q99" s="4" t="s">
        <v>403</v>
      </c>
    </row>
    <row r="100" ht="14.4" spans="1:17">
      <c r="A100" s="13">
        <v>99</v>
      </c>
      <c r="B100" s="7" t="s">
        <v>399</v>
      </c>
      <c r="C100" s="7" t="s">
        <v>241</v>
      </c>
      <c r="D100" s="7" t="s">
        <v>432</v>
      </c>
      <c r="E100" s="14" t="s">
        <v>203</v>
      </c>
      <c r="F100" s="7" t="s">
        <v>52</v>
      </c>
      <c r="G100" s="7" t="s">
        <v>401</v>
      </c>
      <c r="H100" s="7">
        <v>12</v>
      </c>
      <c r="I100" s="15"/>
      <c r="J100" s="15"/>
      <c r="K100" s="7"/>
      <c r="L100" s="7"/>
      <c r="M100" s="15" t="str">
        <f t="shared" si="2"/>
        <v/>
      </c>
      <c r="N100" s="15" t="str">
        <f t="shared" si="3"/>
        <v/>
      </c>
      <c r="O100" s="4" t="s">
        <v>433</v>
      </c>
      <c r="P100" s="4"/>
      <c r="Q100" s="4" t="s">
        <v>403</v>
      </c>
    </row>
    <row r="101" ht="14.4" spans="1:17">
      <c r="A101" s="13">
        <v>100</v>
      </c>
      <c r="B101" s="7" t="s">
        <v>399</v>
      </c>
      <c r="C101" s="7" t="s">
        <v>299</v>
      </c>
      <c r="D101" s="7" t="s">
        <v>434</v>
      </c>
      <c r="E101" s="14" t="s">
        <v>203</v>
      </c>
      <c r="F101" s="7" t="s">
        <v>52</v>
      </c>
      <c r="G101" s="7" t="s">
        <v>401</v>
      </c>
      <c r="H101" s="7">
        <v>16</v>
      </c>
      <c r="I101" s="15"/>
      <c r="J101" s="15"/>
      <c r="K101" s="7"/>
      <c r="L101" s="7"/>
      <c r="M101" s="15" t="str">
        <f t="shared" si="2"/>
        <v/>
      </c>
      <c r="N101" s="15" t="str">
        <f t="shared" si="3"/>
        <v/>
      </c>
      <c r="O101" s="4" t="s">
        <v>435</v>
      </c>
      <c r="P101" s="4"/>
      <c r="Q101" s="4" t="s">
        <v>403</v>
      </c>
    </row>
    <row r="102" ht="14.4" spans="1:17">
      <c r="A102" s="13">
        <v>101</v>
      </c>
      <c r="B102" s="7" t="s">
        <v>399</v>
      </c>
      <c r="C102" s="7" t="s">
        <v>299</v>
      </c>
      <c r="D102" s="7" t="s">
        <v>436</v>
      </c>
      <c r="E102" s="14" t="s">
        <v>203</v>
      </c>
      <c r="F102" s="7" t="s">
        <v>52</v>
      </c>
      <c r="G102" s="7" t="s">
        <v>401</v>
      </c>
      <c r="H102" s="7">
        <v>29</v>
      </c>
      <c r="I102" s="15"/>
      <c r="J102" s="15"/>
      <c r="K102" s="7"/>
      <c r="L102" s="7"/>
      <c r="M102" s="15" t="str">
        <f t="shared" si="2"/>
        <v/>
      </c>
      <c r="N102" s="15" t="str">
        <f t="shared" si="3"/>
        <v/>
      </c>
      <c r="O102" s="4" t="s">
        <v>437</v>
      </c>
      <c r="P102" s="4"/>
      <c r="Q102" s="4" t="s">
        <v>403</v>
      </c>
    </row>
    <row r="103" ht="14.4" spans="1:17">
      <c r="A103" s="13">
        <v>102</v>
      </c>
      <c r="B103" s="7" t="s">
        <v>399</v>
      </c>
      <c r="C103" s="7" t="s">
        <v>306</v>
      </c>
      <c r="D103" s="7" t="s">
        <v>438</v>
      </c>
      <c r="E103" s="14" t="s">
        <v>203</v>
      </c>
      <c r="F103" s="7" t="s">
        <v>52</v>
      </c>
      <c r="G103" s="7" t="s">
        <v>401</v>
      </c>
      <c r="H103" s="7">
        <v>29</v>
      </c>
      <c r="I103" s="15"/>
      <c r="J103" s="15"/>
      <c r="K103" s="7"/>
      <c r="L103" s="7"/>
      <c r="M103" s="15" t="str">
        <f t="shared" si="2"/>
        <v/>
      </c>
      <c r="N103" s="15" t="str">
        <f t="shared" si="3"/>
        <v/>
      </c>
      <c r="O103" s="4" t="s">
        <v>439</v>
      </c>
      <c r="P103" s="4"/>
      <c r="Q103" s="4" t="s">
        <v>403</v>
      </c>
    </row>
    <row r="104" ht="14.4" spans="1:17">
      <c r="A104" s="13">
        <v>103</v>
      </c>
      <c r="B104" s="7" t="s">
        <v>399</v>
      </c>
      <c r="C104" s="7" t="s">
        <v>306</v>
      </c>
      <c r="D104" s="7" t="s">
        <v>440</v>
      </c>
      <c r="E104" s="14" t="s">
        <v>203</v>
      </c>
      <c r="F104" s="7" t="s">
        <v>52</v>
      </c>
      <c r="G104" s="7" t="s">
        <v>401</v>
      </c>
      <c r="H104" s="7">
        <v>29</v>
      </c>
      <c r="I104" s="15"/>
      <c r="J104" s="15"/>
      <c r="K104" s="7"/>
      <c r="L104" s="7"/>
      <c r="M104" s="15" t="str">
        <f t="shared" si="2"/>
        <v/>
      </c>
      <c r="N104" s="15" t="str">
        <f t="shared" si="3"/>
        <v/>
      </c>
      <c r="O104" s="4" t="s">
        <v>441</v>
      </c>
      <c r="P104" s="4"/>
      <c r="Q104" s="4" t="s">
        <v>403</v>
      </c>
    </row>
    <row r="105" ht="14.4" spans="1:17">
      <c r="A105" s="13">
        <v>104</v>
      </c>
      <c r="B105" s="7" t="s">
        <v>399</v>
      </c>
      <c r="C105" s="7" t="s">
        <v>306</v>
      </c>
      <c r="D105" s="7" t="s">
        <v>442</v>
      </c>
      <c r="E105" s="14" t="s">
        <v>203</v>
      </c>
      <c r="F105" s="7" t="s">
        <v>52</v>
      </c>
      <c r="G105" s="7" t="s">
        <v>401</v>
      </c>
      <c r="H105" s="7">
        <v>29</v>
      </c>
      <c r="I105" s="15"/>
      <c r="J105" s="15"/>
      <c r="K105" s="7"/>
      <c r="L105" s="7"/>
      <c r="M105" s="15" t="str">
        <f t="shared" si="2"/>
        <v/>
      </c>
      <c r="N105" s="15" t="str">
        <f t="shared" si="3"/>
        <v/>
      </c>
      <c r="O105" s="4" t="s">
        <v>443</v>
      </c>
      <c r="P105" s="4"/>
      <c r="Q105" s="4" t="s">
        <v>403</v>
      </c>
    </row>
    <row r="106" ht="14.4" spans="1:17">
      <c r="A106" s="13">
        <v>105</v>
      </c>
      <c r="B106" s="7" t="s">
        <v>444</v>
      </c>
      <c r="C106" s="7" t="s">
        <v>215</v>
      </c>
      <c r="D106" s="7" t="s">
        <v>445</v>
      </c>
      <c r="E106" s="14" t="s">
        <v>203</v>
      </c>
      <c r="F106" s="7" t="s">
        <v>52</v>
      </c>
      <c r="G106" s="7" t="s">
        <v>446</v>
      </c>
      <c r="H106" s="7">
        <v>7</v>
      </c>
      <c r="I106" s="15"/>
      <c r="J106" s="15"/>
      <c r="K106" s="7"/>
      <c r="L106" s="7"/>
      <c r="M106" s="15" t="str">
        <f t="shared" si="2"/>
        <v/>
      </c>
      <c r="N106" s="15" t="str">
        <f t="shared" si="3"/>
        <v/>
      </c>
      <c r="O106" s="4" t="s">
        <v>447</v>
      </c>
      <c r="P106" s="4"/>
      <c r="Q106" s="4" t="s">
        <v>448</v>
      </c>
    </row>
    <row r="107" ht="26.4" spans="1:17">
      <c r="A107" s="13">
        <v>106</v>
      </c>
      <c r="B107" s="7" t="s">
        <v>444</v>
      </c>
      <c r="C107" s="7" t="s">
        <v>215</v>
      </c>
      <c r="D107" s="7" t="s">
        <v>449</v>
      </c>
      <c r="E107" s="14" t="s">
        <v>203</v>
      </c>
      <c r="F107" s="7" t="s">
        <v>52</v>
      </c>
      <c r="G107" s="7" t="s">
        <v>446</v>
      </c>
      <c r="H107" s="7">
        <v>7</v>
      </c>
      <c r="I107" s="15"/>
      <c r="J107" s="15"/>
      <c r="K107" s="7"/>
      <c r="L107" s="7"/>
      <c r="M107" s="15" t="str">
        <f t="shared" si="2"/>
        <v/>
      </c>
      <c r="N107" s="15" t="str">
        <f t="shared" si="3"/>
        <v/>
      </c>
      <c r="O107" s="4" t="s">
        <v>450</v>
      </c>
      <c r="P107" s="4"/>
      <c r="Q107" s="4" t="s">
        <v>448</v>
      </c>
    </row>
    <row r="108" ht="14.4" spans="1:17">
      <c r="A108" s="13">
        <v>107</v>
      </c>
      <c r="B108" s="7" t="s">
        <v>444</v>
      </c>
      <c r="C108" s="7" t="s">
        <v>215</v>
      </c>
      <c r="D108" s="7" t="s">
        <v>451</v>
      </c>
      <c r="E108" s="14" t="s">
        <v>203</v>
      </c>
      <c r="F108" s="7" t="s">
        <v>52</v>
      </c>
      <c r="G108" s="7" t="s">
        <v>446</v>
      </c>
      <c r="H108" s="7">
        <v>7</v>
      </c>
      <c r="I108" s="15"/>
      <c r="J108" s="15"/>
      <c r="K108" s="7"/>
      <c r="L108" s="7"/>
      <c r="M108" s="15" t="str">
        <f t="shared" si="2"/>
        <v/>
      </c>
      <c r="N108" s="15" t="str">
        <f t="shared" si="3"/>
        <v/>
      </c>
      <c r="O108" s="4" t="s">
        <v>452</v>
      </c>
      <c r="P108" s="4"/>
      <c r="Q108" s="4" t="s">
        <v>448</v>
      </c>
    </row>
    <row r="109" ht="14.4" spans="1:17">
      <c r="A109" s="13">
        <v>108</v>
      </c>
      <c r="B109" s="7" t="s">
        <v>444</v>
      </c>
      <c r="C109" s="7" t="s">
        <v>215</v>
      </c>
      <c r="D109" s="7" t="s">
        <v>453</v>
      </c>
      <c r="E109" s="14" t="s">
        <v>203</v>
      </c>
      <c r="F109" s="7" t="s">
        <v>52</v>
      </c>
      <c r="G109" s="7" t="s">
        <v>446</v>
      </c>
      <c r="H109" s="7"/>
      <c r="I109" s="15"/>
      <c r="J109" s="15"/>
      <c r="K109" s="7"/>
      <c r="L109" s="7"/>
      <c r="M109" s="15" t="str">
        <f t="shared" si="2"/>
        <v/>
      </c>
      <c r="N109" s="15" t="str">
        <f t="shared" si="3"/>
        <v/>
      </c>
      <c r="O109" s="4" t="s">
        <v>454</v>
      </c>
      <c r="P109" s="4"/>
      <c r="Q109" s="4" t="s">
        <v>448</v>
      </c>
    </row>
    <row r="110" ht="26.4" spans="1:17">
      <c r="A110" s="13">
        <v>109</v>
      </c>
      <c r="B110" s="7" t="s">
        <v>444</v>
      </c>
      <c r="C110" s="7" t="s">
        <v>215</v>
      </c>
      <c r="D110" s="7" t="s">
        <v>455</v>
      </c>
      <c r="E110" s="14" t="s">
        <v>203</v>
      </c>
      <c r="F110" s="7" t="s">
        <v>52</v>
      </c>
      <c r="G110" s="7" t="s">
        <v>446</v>
      </c>
      <c r="H110" s="7">
        <v>7</v>
      </c>
      <c r="I110" s="15"/>
      <c r="J110" s="15"/>
      <c r="K110" s="7"/>
      <c r="L110" s="7"/>
      <c r="M110" s="15" t="str">
        <f t="shared" si="2"/>
        <v/>
      </c>
      <c r="N110" s="15" t="str">
        <f t="shared" si="3"/>
        <v/>
      </c>
      <c r="O110" s="4" t="s">
        <v>456</v>
      </c>
      <c r="P110" s="4"/>
      <c r="Q110" s="4" t="s">
        <v>448</v>
      </c>
    </row>
    <row r="111" ht="26.4" spans="1:17">
      <c r="A111" s="13">
        <v>110</v>
      </c>
      <c r="B111" s="7" t="s">
        <v>444</v>
      </c>
      <c r="C111" s="7" t="s">
        <v>215</v>
      </c>
      <c r="D111" s="7" t="s">
        <v>457</v>
      </c>
      <c r="E111" s="14" t="s">
        <v>203</v>
      </c>
      <c r="F111" s="7" t="s">
        <v>52</v>
      </c>
      <c r="G111" s="7" t="s">
        <v>446</v>
      </c>
      <c r="H111" s="7"/>
      <c r="I111" s="15"/>
      <c r="J111" s="15"/>
      <c r="K111" s="7"/>
      <c r="L111" s="7"/>
      <c r="M111" s="15" t="str">
        <f t="shared" si="2"/>
        <v/>
      </c>
      <c r="N111" s="15" t="str">
        <f t="shared" si="3"/>
        <v/>
      </c>
      <c r="O111" s="4" t="s">
        <v>458</v>
      </c>
      <c r="P111" s="4"/>
      <c r="Q111" s="4" t="s">
        <v>448</v>
      </c>
    </row>
    <row r="112" ht="14.4" spans="1:17">
      <c r="A112" s="13">
        <v>111</v>
      </c>
      <c r="B112" s="7" t="s">
        <v>444</v>
      </c>
      <c r="C112" s="7" t="s">
        <v>226</v>
      </c>
      <c r="D112" s="7" t="s">
        <v>459</v>
      </c>
      <c r="E112" s="14" t="s">
        <v>203</v>
      </c>
      <c r="F112" s="7" t="s">
        <v>52</v>
      </c>
      <c r="G112" s="7" t="s">
        <v>446</v>
      </c>
      <c r="H112" s="7"/>
      <c r="I112" s="15"/>
      <c r="J112" s="15"/>
      <c r="K112" s="7"/>
      <c r="L112" s="7"/>
      <c r="M112" s="15" t="str">
        <f t="shared" si="2"/>
        <v/>
      </c>
      <c r="N112" s="15" t="str">
        <f t="shared" si="3"/>
        <v/>
      </c>
      <c r="O112" s="4" t="s">
        <v>460</v>
      </c>
      <c r="P112" s="4"/>
      <c r="Q112" s="4" t="s">
        <v>448</v>
      </c>
    </row>
    <row r="113" ht="14.4" spans="1:17">
      <c r="A113" s="13">
        <v>112</v>
      </c>
      <c r="B113" s="7" t="s">
        <v>444</v>
      </c>
      <c r="C113" s="7" t="s">
        <v>226</v>
      </c>
      <c r="D113" s="7" t="s">
        <v>461</v>
      </c>
      <c r="E113" s="14" t="s">
        <v>203</v>
      </c>
      <c r="F113" s="7" t="s">
        <v>52</v>
      </c>
      <c r="G113" s="7" t="s">
        <v>446</v>
      </c>
      <c r="H113" s="7"/>
      <c r="I113" s="15"/>
      <c r="J113" s="15"/>
      <c r="K113" s="7"/>
      <c r="L113" s="7"/>
      <c r="M113" s="15" t="str">
        <f t="shared" si="2"/>
        <v/>
      </c>
      <c r="N113" s="15" t="str">
        <f t="shared" si="3"/>
        <v/>
      </c>
      <c r="O113" s="4" t="s">
        <v>462</v>
      </c>
      <c r="P113" s="4"/>
      <c r="Q113" s="4" t="s">
        <v>448</v>
      </c>
    </row>
    <row r="114" ht="26.4" spans="1:17">
      <c r="A114" s="13">
        <v>113</v>
      </c>
      <c r="B114" s="7" t="s">
        <v>444</v>
      </c>
      <c r="C114" s="7" t="s">
        <v>226</v>
      </c>
      <c r="D114" s="7" t="s">
        <v>463</v>
      </c>
      <c r="E114" s="14" t="s">
        <v>203</v>
      </c>
      <c r="F114" s="7" t="s">
        <v>52</v>
      </c>
      <c r="G114" s="7" t="s">
        <v>446</v>
      </c>
      <c r="H114" s="7"/>
      <c r="I114" s="15"/>
      <c r="J114" s="15"/>
      <c r="K114" s="7"/>
      <c r="L114" s="7"/>
      <c r="M114" s="15" t="str">
        <f t="shared" si="2"/>
        <v/>
      </c>
      <c r="N114" s="15" t="str">
        <f t="shared" si="3"/>
        <v/>
      </c>
      <c r="O114" s="4" t="s">
        <v>464</v>
      </c>
      <c r="P114" s="4"/>
      <c r="Q114" s="4" t="s">
        <v>448</v>
      </c>
    </row>
    <row r="115" ht="14.4" spans="1:17">
      <c r="A115" s="13">
        <v>114</v>
      </c>
      <c r="B115" s="7" t="s">
        <v>444</v>
      </c>
      <c r="C115" s="7" t="s">
        <v>226</v>
      </c>
      <c r="D115" s="7" t="s">
        <v>465</v>
      </c>
      <c r="E115" s="14" t="s">
        <v>203</v>
      </c>
      <c r="F115" s="7" t="s">
        <v>52</v>
      </c>
      <c r="G115" s="7" t="s">
        <v>446</v>
      </c>
      <c r="H115" s="7"/>
      <c r="I115" s="15"/>
      <c r="J115" s="15"/>
      <c r="K115" s="7"/>
      <c r="L115" s="7"/>
      <c r="M115" s="15" t="str">
        <f t="shared" si="2"/>
        <v/>
      </c>
      <c r="N115" s="15" t="str">
        <f t="shared" si="3"/>
        <v/>
      </c>
      <c r="O115" s="4" t="s">
        <v>466</v>
      </c>
      <c r="P115" s="4"/>
      <c r="Q115" s="4" t="s">
        <v>448</v>
      </c>
    </row>
    <row r="116" ht="26.4" spans="1:17">
      <c r="A116" s="13">
        <v>115</v>
      </c>
      <c r="B116" s="7" t="s">
        <v>444</v>
      </c>
      <c r="C116" s="7" t="s">
        <v>226</v>
      </c>
      <c r="D116" s="7" t="s">
        <v>467</v>
      </c>
      <c r="E116" s="14" t="s">
        <v>203</v>
      </c>
      <c r="F116" s="7" t="s">
        <v>52</v>
      </c>
      <c r="G116" s="7" t="s">
        <v>446</v>
      </c>
      <c r="H116" s="7"/>
      <c r="I116" s="15"/>
      <c r="J116" s="15"/>
      <c r="K116" s="7"/>
      <c r="L116" s="7"/>
      <c r="M116" s="15" t="str">
        <f t="shared" si="2"/>
        <v/>
      </c>
      <c r="N116" s="15" t="str">
        <f t="shared" si="3"/>
        <v/>
      </c>
      <c r="O116" s="4" t="s">
        <v>468</v>
      </c>
      <c r="P116" s="4"/>
      <c r="Q116" s="4" t="s">
        <v>448</v>
      </c>
    </row>
    <row r="117" ht="26.4" spans="1:17">
      <c r="A117" s="13">
        <v>116</v>
      </c>
      <c r="B117" s="7" t="s">
        <v>444</v>
      </c>
      <c r="C117" s="7" t="s">
        <v>226</v>
      </c>
      <c r="D117" s="7" t="s">
        <v>469</v>
      </c>
      <c r="E117" s="14" t="s">
        <v>203</v>
      </c>
      <c r="F117" s="7" t="s">
        <v>52</v>
      </c>
      <c r="G117" s="7" t="s">
        <v>446</v>
      </c>
      <c r="H117" s="7"/>
      <c r="I117" s="15"/>
      <c r="J117" s="15"/>
      <c r="K117" s="7"/>
      <c r="L117" s="7"/>
      <c r="M117" s="15" t="str">
        <f t="shared" si="2"/>
        <v/>
      </c>
      <c r="N117" s="15" t="str">
        <f t="shared" si="3"/>
        <v/>
      </c>
      <c r="O117" s="4" t="s">
        <v>470</v>
      </c>
      <c r="P117" s="4"/>
      <c r="Q117" s="4" t="s">
        <v>448</v>
      </c>
    </row>
    <row r="118" ht="26.4" spans="1:17">
      <c r="A118" s="13">
        <v>117</v>
      </c>
      <c r="B118" s="7" t="s">
        <v>444</v>
      </c>
      <c r="C118" s="7" t="s">
        <v>241</v>
      </c>
      <c r="D118" s="7" t="s">
        <v>471</v>
      </c>
      <c r="E118" s="14" t="s">
        <v>203</v>
      </c>
      <c r="F118" s="7" t="s">
        <v>52</v>
      </c>
      <c r="G118" s="7" t="s">
        <v>446</v>
      </c>
      <c r="H118" s="7">
        <v>30</v>
      </c>
      <c r="I118" s="15"/>
      <c r="J118" s="15"/>
      <c r="K118" s="7"/>
      <c r="L118" s="7"/>
      <c r="M118" s="15" t="str">
        <f t="shared" si="2"/>
        <v/>
      </c>
      <c r="N118" s="15" t="str">
        <f t="shared" si="3"/>
        <v/>
      </c>
      <c r="O118" s="4" t="s">
        <v>472</v>
      </c>
      <c r="P118" s="4"/>
      <c r="Q118" s="4" t="s">
        <v>448</v>
      </c>
    </row>
    <row r="119" ht="26.4" spans="1:17">
      <c r="A119" s="13">
        <v>118</v>
      </c>
      <c r="B119" s="7" t="s">
        <v>444</v>
      </c>
      <c r="C119" s="7" t="s">
        <v>241</v>
      </c>
      <c r="D119" s="7" t="s">
        <v>473</v>
      </c>
      <c r="E119" s="14" t="s">
        <v>203</v>
      </c>
      <c r="F119" s="7" t="s">
        <v>52</v>
      </c>
      <c r="G119" s="7" t="s">
        <v>446</v>
      </c>
      <c r="H119" s="7">
        <v>30</v>
      </c>
      <c r="I119" s="15"/>
      <c r="J119" s="15"/>
      <c r="K119" s="7"/>
      <c r="L119" s="7"/>
      <c r="M119" s="15" t="str">
        <f t="shared" si="2"/>
        <v/>
      </c>
      <c r="N119" s="15" t="str">
        <f t="shared" si="3"/>
        <v/>
      </c>
      <c r="O119" s="4" t="s">
        <v>474</v>
      </c>
      <c r="P119" s="4"/>
      <c r="Q119" s="4" t="s">
        <v>448</v>
      </c>
    </row>
    <row r="120" ht="14.4" spans="1:17">
      <c r="A120" s="13">
        <v>119</v>
      </c>
      <c r="B120" s="7" t="s">
        <v>444</v>
      </c>
      <c r="C120" s="7" t="s">
        <v>241</v>
      </c>
      <c r="D120" s="7" t="s">
        <v>475</v>
      </c>
      <c r="E120" s="14" t="s">
        <v>203</v>
      </c>
      <c r="F120" s="7" t="s">
        <v>52</v>
      </c>
      <c r="G120" s="7" t="s">
        <v>446</v>
      </c>
      <c r="H120" s="7">
        <v>30</v>
      </c>
      <c r="I120" s="15"/>
      <c r="J120" s="15"/>
      <c r="K120" s="7"/>
      <c r="L120" s="7"/>
      <c r="M120" s="15" t="str">
        <f t="shared" si="2"/>
        <v/>
      </c>
      <c r="N120" s="15" t="str">
        <f t="shared" si="3"/>
        <v/>
      </c>
      <c r="O120" s="4" t="s">
        <v>476</v>
      </c>
      <c r="P120" s="4"/>
      <c r="Q120" s="4" t="s">
        <v>448</v>
      </c>
    </row>
    <row r="121" ht="14.4" spans="1:17">
      <c r="A121" s="13">
        <v>120</v>
      </c>
      <c r="B121" s="7" t="s">
        <v>444</v>
      </c>
      <c r="C121" s="7" t="s">
        <v>241</v>
      </c>
      <c r="D121" s="7" t="s">
        <v>477</v>
      </c>
      <c r="E121" s="14" t="s">
        <v>203</v>
      </c>
      <c r="F121" s="7" t="s">
        <v>52</v>
      </c>
      <c r="G121" s="7" t="s">
        <v>446</v>
      </c>
      <c r="H121" s="7"/>
      <c r="I121" s="15"/>
      <c r="J121" s="15"/>
      <c r="K121" s="7"/>
      <c r="L121" s="7"/>
      <c r="M121" s="15" t="str">
        <f t="shared" si="2"/>
        <v/>
      </c>
      <c r="N121" s="15" t="str">
        <f t="shared" si="3"/>
        <v/>
      </c>
      <c r="O121" s="4" t="s">
        <v>478</v>
      </c>
      <c r="P121" s="4"/>
      <c r="Q121" s="4" t="s">
        <v>448</v>
      </c>
    </row>
    <row r="122" ht="26.4" spans="1:17">
      <c r="A122" s="13">
        <v>121</v>
      </c>
      <c r="B122" s="7" t="s">
        <v>444</v>
      </c>
      <c r="C122" s="7" t="s">
        <v>241</v>
      </c>
      <c r="D122" s="7" t="s">
        <v>479</v>
      </c>
      <c r="E122" s="14" t="s">
        <v>203</v>
      </c>
      <c r="F122" s="7" t="s">
        <v>52</v>
      </c>
      <c r="G122" s="7" t="s">
        <v>446</v>
      </c>
      <c r="H122" s="7">
        <v>30</v>
      </c>
      <c r="I122" s="15"/>
      <c r="J122" s="15"/>
      <c r="K122" s="7"/>
      <c r="L122" s="7"/>
      <c r="M122" s="15" t="str">
        <f t="shared" si="2"/>
        <v/>
      </c>
      <c r="N122" s="15" t="str">
        <f t="shared" si="3"/>
        <v/>
      </c>
      <c r="O122" s="4" t="s">
        <v>480</v>
      </c>
      <c r="P122" s="4"/>
      <c r="Q122" s="4" t="s">
        <v>448</v>
      </c>
    </row>
    <row r="123" ht="26.4" spans="1:17">
      <c r="A123" s="13">
        <v>122</v>
      </c>
      <c r="B123" s="7" t="s">
        <v>444</v>
      </c>
      <c r="C123" s="7" t="s">
        <v>481</v>
      </c>
      <c r="D123" s="7" t="s">
        <v>482</v>
      </c>
      <c r="E123" s="14" t="s">
        <v>203</v>
      </c>
      <c r="F123" s="7" t="s">
        <v>52</v>
      </c>
      <c r="G123" s="7" t="s">
        <v>446</v>
      </c>
      <c r="H123" s="7">
        <v>18</v>
      </c>
      <c r="I123" s="15"/>
      <c r="J123" s="15"/>
      <c r="K123" s="7"/>
      <c r="L123" s="7"/>
      <c r="M123" s="15" t="str">
        <f t="shared" si="2"/>
        <v/>
      </c>
      <c r="N123" s="15" t="str">
        <f t="shared" si="3"/>
        <v/>
      </c>
      <c r="O123" s="4" t="s">
        <v>483</v>
      </c>
      <c r="P123" s="4"/>
      <c r="Q123" s="4" t="s">
        <v>448</v>
      </c>
    </row>
    <row r="124" ht="26.4" spans="1:17">
      <c r="A124" s="13">
        <v>123</v>
      </c>
      <c r="B124" s="7" t="s">
        <v>444</v>
      </c>
      <c r="C124" s="7" t="s">
        <v>481</v>
      </c>
      <c r="D124" s="7" t="s">
        <v>484</v>
      </c>
      <c r="E124" s="14" t="s">
        <v>203</v>
      </c>
      <c r="F124" s="7" t="s">
        <v>52</v>
      </c>
      <c r="G124" s="7" t="s">
        <v>446</v>
      </c>
      <c r="H124" s="7">
        <v>18</v>
      </c>
      <c r="I124" s="15"/>
      <c r="J124" s="15"/>
      <c r="K124" s="7"/>
      <c r="L124" s="7"/>
      <c r="M124" s="15" t="str">
        <f t="shared" si="2"/>
        <v/>
      </c>
      <c r="N124" s="15" t="str">
        <f t="shared" si="3"/>
        <v/>
      </c>
      <c r="O124" s="4" t="s">
        <v>485</v>
      </c>
      <c r="P124" s="4"/>
      <c r="Q124" s="4" t="s">
        <v>448</v>
      </c>
    </row>
    <row r="125" ht="26.4" spans="1:17">
      <c r="A125" s="13">
        <v>124</v>
      </c>
      <c r="B125" s="7" t="s">
        <v>444</v>
      </c>
      <c r="C125" s="7" t="s">
        <v>481</v>
      </c>
      <c r="D125" s="7" t="s">
        <v>486</v>
      </c>
      <c r="E125" s="14" t="s">
        <v>203</v>
      </c>
      <c r="F125" s="7" t="s">
        <v>52</v>
      </c>
      <c r="G125" s="7" t="s">
        <v>446</v>
      </c>
      <c r="H125" s="7"/>
      <c r="I125" s="15"/>
      <c r="J125" s="15"/>
      <c r="K125" s="7"/>
      <c r="L125" s="7"/>
      <c r="M125" s="15" t="str">
        <f t="shared" si="2"/>
        <v/>
      </c>
      <c r="N125" s="15" t="str">
        <f t="shared" si="3"/>
        <v/>
      </c>
      <c r="O125" s="4" t="s">
        <v>487</v>
      </c>
      <c r="P125" s="4"/>
      <c r="Q125" s="4" t="s">
        <v>448</v>
      </c>
    </row>
    <row r="126" ht="14.4" spans="1:17">
      <c r="A126" s="13">
        <v>125</v>
      </c>
      <c r="B126" s="7" t="s">
        <v>444</v>
      </c>
      <c r="C126" s="7" t="s">
        <v>306</v>
      </c>
      <c r="D126" s="7" t="s">
        <v>488</v>
      </c>
      <c r="E126" s="14" t="s">
        <v>203</v>
      </c>
      <c r="F126" s="7" t="s">
        <v>52</v>
      </c>
      <c r="G126" s="7" t="s">
        <v>446</v>
      </c>
      <c r="H126" s="7">
        <v>35</v>
      </c>
      <c r="I126" s="15"/>
      <c r="J126" s="15"/>
      <c r="K126" s="7"/>
      <c r="L126" s="7"/>
      <c r="M126" s="15" t="str">
        <f t="shared" si="2"/>
        <v/>
      </c>
      <c r="N126" s="15" t="str">
        <f t="shared" si="3"/>
        <v/>
      </c>
      <c r="O126" s="4" t="s">
        <v>489</v>
      </c>
      <c r="P126" s="4"/>
      <c r="Q126" s="4" t="s">
        <v>448</v>
      </c>
    </row>
    <row r="127" ht="14.4" spans="1:17">
      <c r="A127" s="16">
        <v>126</v>
      </c>
      <c r="B127" s="7" t="s">
        <v>444</v>
      </c>
      <c r="C127" s="7" t="s">
        <v>306</v>
      </c>
      <c r="D127" s="7" t="s">
        <v>490</v>
      </c>
      <c r="E127" s="14" t="s">
        <v>203</v>
      </c>
      <c r="F127" s="7" t="s">
        <v>252</v>
      </c>
      <c r="G127" s="7" t="s">
        <v>491</v>
      </c>
      <c r="H127" s="7"/>
      <c r="I127" s="15"/>
      <c r="J127" s="15"/>
      <c r="K127" s="7"/>
      <c r="L127" s="7"/>
      <c r="M127" s="15" t="str">
        <f t="shared" si="2"/>
        <v/>
      </c>
      <c r="N127" s="15" t="str">
        <f t="shared" si="3"/>
        <v/>
      </c>
      <c r="O127" s="4" t="s">
        <v>492</v>
      </c>
      <c r="P127" s="4"/>
      <c r="Q127" s="4" t="s">
        <v>448</v>
      </c>
    </row>
    <row r="128" ht="14.4" spans="1:17">
      <c r="A128" s="13">
        <v>127</v>
      </c>
      <c r="B128" s="7" t="s">
        <v>493</v>
      </c>
      <c r="C128" s="7" t="s">
        <v>215</v>
      </c>
      <c r="D128" s="7" t="s">
        <v>494</v>
      </c>
      <c r="E128" s="14" t="s">
        <v>203</v>
      </c>
      <c r="F128" s="7" t="s">
        <v>52</v>
      </c>
      <c r="G128" s="7" t="s">
        <v>495</v>
      </c>
      <c r="H128" s="7">
        <v>7</v>
      </c>
      <c r="I128" s="15"/>
      <c r="J128" s="15"/>
      <c r="K128" s="7"/>
      <c r="L128" s="7"/>
      <c r="M128" s="15" t="str">
        <f t="shared" si="2"/>
        <v/>
      </c>
      <c r="N128" s="15" t="str">
        <f t="shared" si="3"/>
        <v/>
      </c>
      <c r="O128" s="4" t="s">
        <v>496</v>
      </c>
      <c r="P128" s="4"/>
      <c r="Q128" s="4" t="s">
        <v>497</v>
      </c>
    </row>
    <row r="129" ht="14.4" spans="1:17">
      <c r="A129" s="13">
        <v>128</v>
      </c>
      <c r="B129" s="7" t="s">
        <v>493</v>
      </c>
      <c r="C129" s="7" t="s">
        <v>215</v>
      </c>
      <c r="D129" s="7" t="s">
        <v>498</v>
      </c>
      <c r="E129" s="14" t="s">
        <v>203</v>
      </c>
      <c r="F129" s="7" t="s">
        <v>52</v>
      </c>
      <c r="G129" s="7" t="s">
        <v>495</v>
      </c>
      <c r="H129" s="7">
        <v>7</v>
      </c>
      <c r="I129" s="15"/>
      <c r="J129" s="15"/>
      <c r="K129" s="7"/>
      <c r="L129" s="7"/>
      <c r="M129" s="15" t="str">
        <f t="shared" si="2"/>
        <v/>
      </c>
      <c r="N129" s="15" t="str">
        <f t="shared" si="3"/>
        <v/>
      </c>
      <c r="O129" s="4" t="s">
        <v>499</v>
      </c>
      <c r="P129" s="4"/>
      <c r="Q129" s="4" t="s">
        <v>497</v>
      </c>
    </row>
    <row r="130" ht="14.4" spans="1:17">
      <c r="A130" s="13">
        <v>129</v>
      </c>
      <c r="B130" s="7" t="s">
        <v>493</v>
      </c>
      <c r="C130" s="7" t="s">
        <v>215</v>
      </c>
      <c r="D130" s="7" t="s">
        <v>500</v>
      </c>
      <c r="E130" s="14" t="s">
        <v>203</v>
      </c>
      <c r="F130" s="7" t="s">
        <v>52</v>
      </c>
      <c r="G130" s="7" t="s">
        <v>495</v>
      </c>
      <c r="H130" s="7"/>
      <c r="I130" s="15"/>
      <c r="J130" s="15"/>
      <c r="K130" s="7"/>
      <c r="L130" s="7"/>
      <c r="M130" s="15" t="str">
        <f t="shared" ref="M130:M185" si="4">IF(J130="","",J130+7)</f>
        <v/>
      </c>
      <c r="N130" s="15" t="str">
        <f t="shared" ref="N130:N185" si="5">IF(J130="","",J130+21)</f>
        <v/>
      </c>
      <c r="O130" s="4" t="s">
        <v>501</v>
      </c>
      <c r="P130" s="4"/>
      <c r="Q130" s="4" t="s">
        <v>497</v>
      </c>
    </row>
    <row r="131" ht="14.4" spans="1:17">
      <c r="A131" s="13">
        <v>130</v>
      </c>
      <c r="B131" s="7" t="s">
        <v>493</v>
      </c>
      <c r="C131" s="7" t="s">
        <v>215</v>
      </c>
      <c r="D131" s="7" t="s">
        <v>502</v>
      </c>
      <c r="E131" s="14" t="s">
        <v>203</v>
      </c>
      <c r="F131" s="7" t="s">
        <v>52</v>
      </c>
      <c r="G131" s="7" t="s">
        <v>495</v>
      </c>
      <c r="H131" s="7"/>
      <c r="I131" s="15"/>
      <c r="J131" s="15"/>
      <c r="K131" s="7"/>
      <c r="L131" s="7"/>
      <c r="M131" s="15" t="str">
        <f t="shared" si="4"/>
        <v/>
      </c>
      <c r="N131" s="15" t="str">
        <f t="shared" si="5"/>
        <v/>
      </c>
      <c r="O131" s="4" t="s">
        <v>503</v>
      </c>
      <c r="P131" s="4"/>
      <c r="Q131" s="4" t="s">
        <v>497</v>
      </c>
    </row>
    <row r="132" ht="14.4" spans="1:17">
      <c r="A132" s="13">
        <v>131</v>
      </c>
      <c r="B132" s="7" t="s">
        <v>493</v>
      </c>
      <c r="C132" s="7" t="s">
        <v>226</v>
      </c>
      <c r="D132" s="7" t="s">
        <v>504</v>
      </c>
      <c r="E132" s="14" t="s">
        <v>203</v>
      </c>
      <c r="F132" s="7" t="s">
        <v>52</v>
      </c>
      <c r="G132" s="7" t="s">
        <v>495</v>
      </c>
      <c r="H132" s="7">
        <v>10</v>
      </c>
      <c r="I132" s="15"/>
      <c r="J132" s="15"/>
      <c r="K132" s="7"/>
      <c r="L132" s="7"/>
      <c r="M132" s="15" t="str">
        <f t="shared" si="4"/>
        <v/>
      </c>
      <c r="N132" s="15" t="str">
        <f t="shared" si="5"/>
        <v/>
      </c>
      <c r="O132" s="4" t="s">
        <v>505</v>
      </c>
      <c r="P132" s="4"/>
      <c r="Q132" s="4" t="s">
        <v>497</v>
      </c>
    </row>
    <row r="133" ht="26.4" spans="1:17">
      <c r="A133" s="13">
        <v>132</v>
      </c>
      <c r="B133" s="7" t="s">
        <v>493</v>
      </c>
      <c r="C133" s="7" t="s">
        <v>226</v>
      </c>
      <c r="D133" s="7" t="s">
        <v>506</v>
      </c>
      <c r="E133" s="14" t="s">
        <v>203</v>
      </c>
      <c r="F133" s="7" t="s">
        <v>52</v>
      </c>
      <c r="G133" s="7" t="s">
        <v>495</v>
      </c>
      <c r="H133" s="7">
        <v>10</v>
      </c>
      <c r="I133" s="15"/>
      <c r="J133" s="15"/>
      <c r="K133" s="7"/>
      <c r="L133" s="7"/>
      <c r="M133" s="15" t="str">
        <f t="shared" si="4"/>
        <v/>
      </c>
      <c r="N133" s="15" t="str">
        <f t="shared" si="5"/>
        <v/>
      </c>
      <c r="O133" s="4" t="s">
        <v>507</v>
      </c>
      <c r="P133" s="4"/>
      <c r="Q133" s="4" t="s">
        <v>497</v>
      </c>
    </row>
    <row r="134" ht="14.4" spans="1:17">
      <c r="A134" s="13">
        <v>133</v>
      </c>
      <c r="B134" s="7" t="s">
        <v>493</v>
      </c>
      <c r="C134" s="7" t="s">
        <v>226</v>
      </c>
      <c r="D134" s="7" t="s">
        <v>508</v>
      </c>
      <c r="E134" s="14" t="s">
        <v>203</v>
      </c>
      <c r="F134" s="7" t="s">
        <v>52</v>
      </c>
      <c r="G134" s="7" t="s">
        <v>495</v>
      </c>
      <c r="H134" s="7">
        <v>10</v>
      </c>
      <c r="I134" s="15"/>
      <c r="J134" s="15"/>
      <c r="K134" s="7"/>
      <c r="L134" s="7"/>
      <c r="M134" s="15" t="str">
        <f t="shared" si="4"/>
        <v/>
      </c>
      <c r="N134" s="15" t="str">
        <f t="shared" si="5"/>
        <v/>
      </c>
      <c r="O134" s="4" t="s">
        <v>509</v>
      </c>
      <c r="P134" s="4"/>
      <c r="Q134" s="4" t="s">
        <v>497</v>
      </c>
    </row>
    <row r="135" ht="26.4" spans="1:17">
      <c r="A135" s="13">
        <v>134</v>
      </c>
      <c r="B135" s="7" t="s">
        <v>493</v>
      </c>
      <c r="C135" s="7" t="s">
        <v>226</v>
      </c>
      <c r="D135" s="7" t="s">
        <v>510</v>
      </c>
      <c r="E135" s="14" t="s">
        <v>203</v>
      </c>
      <c r="F135" s="7" t="s">
        <v>52</v>
      </c>
      <c r="G135" s="7" t="s">
        <v>495</v>
      </c>
      <c r="H135" s="7">
        <v>10</v>
      </c>
      <c r="I135" s="15"/>
      <c r="J135" s="15"/>
      <c r="K135" s="7"/>
      <c r="L135" s="7"/>
      <c r="M135" s="15" t="str">
        <f t="shared" si="4"/>
        <v/>
      </c>
      <c r="N135" s="15" t="str">
        <f t="shared" si="5"/>
        <v/>
      </c>
      <c r="O135" s="4" t="s">
        <v>511</v>
      </c>
      <c r="P135" s="4"/>
      <c r="Q135" s="4" t="s">
        <v>497</v>
      </c>
    </row>
    <row r="136" ht="26.4" spans="1:17">
      <c r="A136" s="13">
        <v>135</v>
      </c>
      <c r="B136" s="7" t="s">
        <v>493</v>
      </c>
      <c r="C136" s="7" t="s">
        <v>241</v>
      </c>
      <c r="D136" s="7" t="s">
        <v>512</v>
      </c>
      <c r="E136" s="14" t="s">
        <v>203</v>
      </c>
      <c r="F136" s="7" t="s">
        <v>52</v>
      </c>
      <c r="G136" s="7" t="s">
        <v>495</v>
      </c>
      <c r="H136" s="7">
        <v>31</v>
      </c>
      <c r="I136" s="15"/>
      <c r="J136" s="15"/>
      <c r="K136" s="7"/>
      <c r="L136" s="7"/>
      <c r="M136" s="15" t="str">
        <f t="shared" si="4"/>
        <v/>
      </c>
      <c r="N136" s="15" t="str">
        <f t="shared" si="5"/>
        <v/>
      </c>
      <c r="O136" s="4" t="s">
        <v>513</v>
      </c>
      <c r="P136" s="4"/>
      <c r="Q136" s="4" t="s">
        <v>497</v>
      </c>
    </row>
    <row r="137" ht="14.4" spans="1:17">
      <c r="A137" s="13">
        <v>136</v>
      </c>
      <c r="B137" s="7" t="s">
        <v>493</v>
      </c>
      <c r="C137" s="7" t="s">
        <v>241</v>
      </c>
      <c r="D137" s="7" t="s">
        <v>514</v>
      </c>
      <c r="E137" s="14" t="s">
        <v>203</v>
      </c>
      <c r="F137" s="7" t="s">
        <v>52</v>
      </c>
      <c r="G137" s="7" t="s">
        <v>495</v>
      </c>
      <c r="H137" s="7">
        <v>10</v>
      </c>
      <c r="I137" s="15"/>
      <c r="J137" s="15"/>
      <c r="K137" s="7"/>
      <c r="L137" s="7"/>
      <c r="M137" s="15" t="str">
        <f t="shared" si="4"/>
        <v/>
      </c>
      <c r="N137" s="15" t="str">
        <f t="shared" si="5"/>
        <v/>
      </c>
      <c r="O137" s="4" t="s">
        <v>515</v>
      </c>
      <c r="P137" s="4"/>
      <c r="Q137" s="4" t="s">
        <v>497</v>
      </c>
    </row>
    <row r="138" ht="14.4" spans="1:17">
      <c r="A138" s="13">
        <v>137</v>
      </c>
      <c r="B138" s="7" t="s">
        <v>493</v>
      </c>
      <c r="C138" s="7" t="s">
        <v>241</v>
      </c>
      <c r="D138" s="7" t="s">
        <v>516</v>
      </c>
      <c r="E138" s="14" t="s">
        <v>203</v>
      </c>
      <c r="F138" s="7" t="s">
        <v>52</v>
      </c>
      <c r="G138" s="7" t="s">
        <v>495</v>
      </c>
      <c r="H138" s="7"/>
      <c r="I138" s="15"/>
      <c r="J138" s="15"/>
      <c r="K138" s="7"/>
      <c r="L138" s="7"/>
      <c r="M138" s="15" t="str">
        <f t="shared" si="4"/>
        <v/>
      </c>
      <c r="N138" s="15" t="str">
        <f t="shared" si="5"/>
        <v/>
      </c>
      <c r="O138" s="4" t="s">
        <v>517</v>
      </c>
      <c r="P138" s="4"/>
      <c r="Q138" s="4" t="s">
        <v>497</v>
      </c>
    </row>
    <row r="139" ht="14.4" spans="1:17">
      <c r="A139" s="13">
        <v>138</v>
      </c>
      <c r="B139" s="7" t="s">
        <v>493</v>
      </c>
      <c r="C139" s="7" t="s">
        <v>241</v>
      </c>
      <c r="D139" s="7" t="s">
        <v>518</v>
      </c>
      <c r="E139" s="14" t="s">
        <v>203</v>
      </c>
      <c r="F139" s="7" t="s">
        <v>52</v>
      </c>
      <c r="G139" s="7" t="s">
        <v>495</v>
      </c>
      <c r="H139" s="7"/>
      <c r="I139" s="15"/>
      <c r="J139" s="15"/>
      <c r="K139" s="7"/>
      <c r="L139" s="7"/>
      <c r="M139" s="15" t="str">
        <f t="shared" si="4"/>
        <v/>
      </c>
      <c r="N139" s="15" t="str">
        <f t="shared" si="5"/>
        <v/>
      </c>
      <c r="O139" s="4" t="s">
        <v>519</v>
      </c>
      <c r="P139" s="4"/>
      <c r="Q139" s="4" t="s">
        <v>497</v>
      </c>
    </row>
    <row r="140" ht="14.4" spans="1:17">
      <c r="A140" s="13">
        <v>139</v>
      </c>
      <c r="B140" s="7" t="s">
        <v>493</v>
      </c>
      <c r="C140" s="7" t="s">
        <v>241</v>
      </c>
      <c r="D140" s="7" t="s">
        <v>520</v>
      </c>
      <c r="E140" s="14" t="s">
        <v>203</v>
      </c>
      <c r="F140" s="7" t="s">
        <v>52</v>
      </c>
      <c r="G140" s="7" t="s">
        <v>495</v>
      </c>
      <c r="H140" s="7">
        <v>31</v>
      </c>
      <c r="I140" s="15"/>
      <c r="J140" s="15"/>
      <c r="K140" s="7"/>
      <c r="L140" s="7"/>
      <c r="M140" s="15" t="str">
        <f t="shared" si="4"/>
        <v/>
      </c>
      <c r="N140" s="15" t="str">
        <f t="shared" si="5"/>
        <v/>
      </c>
      <c r="O140" s="4" t="s">
        <v>521</v>
      </c>
      <c r="P140" s="4"/>
      <c r="Q140" s="4" t="s">
        <v>497</v>
      </c>
    </row>
    <row r="141" ht="14.4" spans="1:17">
      <c r="A141" s="13">
        <v>140</v>
      </c>
      <c r="B141" s="7" t="s">
        <v>493</v>
      </c>
      <c r="C141" s="7" t="s">
        <v>241</v>
      </c>
      <c r="D141" s="7" t="s">
        <v>522</v>
      </c>
      <c r="E141" s="14" t="s">
        <v>203</v>
      </c>
      <c r="F141" s="7" t="s">
        <v>52</v>
      </c>
      <c r="G141" s="7" t="s">
        <v>495</v>
      </c>
      <c r="H141" s="7">
        <v>31</v>
      </c>
      <c r="I141" s="15"/>
      <c r="J141" s="15"/>
      <c r="K141" s="7"/>
      <c r="L141" s="7"/>
      <c r="M141" s="15" t="str">
        <f t="shared" si="4"/>
        <v/>
      </c>
      <c r="N141" s="15" t="str">
        <f t="shared" si="5"/>
        <v/>
      </c>
      <c r="O141" s="4" t="s">
        <v>523</v>
      </c>
      <c r="P141" s="4"/>
      <c r="Q141" s="4" t="s">
        <v>497</v>
      </c>
    </row>
    <row r="142" ht="26.4" spans="1:17">
      <c r="A142" s="13">
        <v>141</v>
      </c>
      <c r="B142" s="7" t="s">
        <v>493</v>
      </c>
      <c r="C142" s="7" t="s">
        <v>241</v>
      </c>
      <c r="D142" s="7" t="s">
        <v>524</v>
      </c>
      <c r="E142" s="14" t="s">
        <v>203</v>
      </c>
      <c r="F142" s="7" t="s">
        <v>52</v>
      </c>
      <c r="G142" s="7" t="s">
        <v>495</v>
      </c>
      <c r="H142" s="7"/>
      <c r="I142" s="15"/>
      <c r="J142" s="15"/>
      <c r="K142" s="7"/>
      <c r="L142" s="7"/>
      <c r="M142" s="15" t="str">
        <f t="shared" si="4"/>
        <v/>
      </c>
      <c r="N142" s="15" t="str">
        <f t="shared" si="5"/>
        <v/>
      </c>
      <c r="O142" s="4" t="s">
        <v>525</v>
      </c>
      <c r="P142" s="4"/>
      <c r="Q142" s="4" t="s">
        <v>497</v>
      </c>
    </row>
    <row r="143" ht="14.4" spans="1:17">
      <c r="A143" s="13">
        <v>142</v>
      </c>
      <c r="B143" s="7" t="s">
        <v>493</v>
      </c>
      <c r="C143" s="7" t="s">
        <v>299</v>
      </c>
      <c r="D143" s="7" t="s">
        <v>526</v>
      </c>
      <c r="E143" s="14" t="s">
        <v>203</v>
      </c>
      <c r="F143" s="7" t="s">
        <v>52</v>
      </c>
      <c r="G143" s="7" t="s">
        <v>495</v>
      </c>
      <c r="H143" s="7">
        <v>16</v>
      </c>
      <c r="I143" s="15"/>
      <c r="J143" s="15"/>
      <c r="K143" s="7"/>
      <c r="L143" s="7"/>
      <c r="M143" s="15" t="str">
        <f t="shared" si="4"/>
        <v/>
      </c>
      <c r="N143" s="15" t="str">
        <f t="shared" si="5"/>
        <v/>
      </c>
      <c r="O143" s="4" t="s">
        <v>527</v>
      </c>
      <c r="P143" s="4"/>
      <c r="Q143" s="4" t="s">
        <v>497</v>
      </c>
    </row>
    <row r="144" ht="14.4" spans="1:17">
      <c r="A144" s="13">
        <v>143</v>
      </c>
      <c r="B144" s="7" t="s">
        <v>493</v>
      </c>
      <c r="C144" s="7" t="s">
        <v>299</v>
      </c>
      <c r="D144" s="7" t="s">
        <v>528</v>
      </c>
      <c r="E144" s="14" t="s">
        <v>203</v>
      </c>
      <c r="F144" s="7" t="s">
        <v>52</v>
      </c>
      <c r="G144" s="7" t="s">
        <v>495</v>
      </c>
      <c r="H144" s="7"/>
      <c r="I144" s="15"/>
      <c r="J144" s="15"/>
      <c r="K144" s="7"/>
      <c r="L144" s="7"/>
      <c r="M144" s="15" t="str">
        <f t="shared" si="4"/>
        <v/>
      </c>
      <c r="N144" s="15" t="str">
        <f t="shared" si="5"/>
        <v/>
      </c>
      <c r="O144" s="4" t="s">
        <v>529</v>
      </c>
      <c r="P144" s="4"/>
      <c r="Q144" s="4" t="s">
        <v>497</v>
      </c>
    </row>
    <row r="145" ht="14.4" spans="1:17">
      <c r="A145" s="16">
        <v>144</v>
      </c>
      <c r="B145" s="7" t="s">
        <v>493</v>
      </c>
      <c r="C145" s="7" t="s">
        <v>299</v>
      </c>
      <c r="D145" s="7" t="s">
        <v>436</v>
      </c>
      <c r="E145" s="14" t="s">
        <v>203</v>
      </c>
      <c r="F145" s="7" t="s">
        <v>252</v>
      </c>
      <c r="G145" s="7" t="s">
        <v>401</v>
      </c>
      <c r="H145" s="7"/>
      <c r="I145" s="15"/>
      <c r="J145" s="15"/>
      <c r="K145" s="7"/>
      <c r="L145" s="7"/>
      <c r="M145" s="15" t="str">
        <f t="shared" si="4"/>
        <v/>
      </c>
      <c r="N145" s="15" t="str">
        <f t="shared" si="5"/>
        <v/>
      </c>
      <c r="O145" s="4" t="s">
        <v>530</v>
      </c>
      <c r="P145" s="4"/>
      <c r="Q145" s="4" t="s">
        <v>497</v>
      </c>
    </row>
    <row r="146" ht="14.4" spans="1:17">
      <c r="A146" s="13">
        <v>145</v>
      </c>
      <c r="B146" s="7" t="s">
        <v>493</v>
      </c>
      <c r="C146" s="7" t="s">
        <v>299</v>
      </c>
      <c r="D146" s="7" t="s">
        <v>531</v>
      </c>
      <c r="E146" s="14" t="s">
        <v>203</v>
      </c>
      <c r="F146" s="7" t="s">
        <v>52</v>
      </c>
      <c r="G146" s="7" t="s">
        <v>495</v>
      </c>
      <c r="H146" s="7"/>
      <c r="I146" s="15"/>
      <c r="J146" s="15"/>
      <c r="K146" s="7"/>
      <c r="L146" s="7"/>
      <c r="M146" s="15" t="str">
        <f t="shared" si="4"/>
        <v/>
      </c>
      <c r="N146" s="15" t="str">
        <f t="shared" si="5"/>
        <v/>
      </c>
      <c r="O146" s="4" t="s">
        <v>532</v>
      </c>
      <c r="P146" s="4"/>
      <c r="Q146" s="4" t="s">
        <v>497</v>
      </c>
    </row>
    <row r="147" ht="14.4" spans="1:17">
      <c r="A147" s="13">
        <v>146</v>
      </c>
      <c r="B147" s="7" t="s">
        <v>493</v>
      </c>
      <c r="C147" s="7" t="s">
        <v>306</v>
      </c>
      <c r="D147" s="7" t="s">
        <v>533</v>
      </c>
      <c r="E147" s="14" t="s">
        <v>203</v>
      </c>
      <c r="F147" s="7" t="s">
        <v>52</v>
      </c>
      <c r="G147" s="7" t="s">
        <v>495</v>
      </c>
      <c r="H147" s="7"/>
      <c r="I147" s="15"/>
      <c r="J147" s="15"/>
      <c r="K147" s="7"/>
      <c r="L147" s="7"/>
      <c r="M147" s="15" t="str">
        <f t="shared" si="4"/>
        <v/>
      </c>
      <c r="N147" s="15" t="str">
        <f t="shared" si="5"/>
        <v/>
      </c>
      <c r="O147" s="4" t="s">
        <v>534</v>
      </c>
      <c r="P147" s="4"/>
      <c r="Q147" s="4" t="s">
        <v>497</v>
      </c>
    </row>
    <row r="148" ht="14.4" spans="1:17">
      <c r="A148" s="13">
        <v>147</v>
      </c>
      <c r="B148" s="7" t="s">
        <v>535</v>
      </c>
      <c r="C148" s="7" t="s">
        <v>215</v>
      </c>
      <c r="D148" s="7" t="s">
        <v>536</v>
      </c>
      <c r="E148" s="14" t="s">
        <v>203</v>
      </c>
      <c r="F148" s="7" t="s">
        <v>52</v>
      </c>
      <c r="G148" s="7" t="s">
        <v>491</v>
      </c>
      <c r="H148" s="7">
        <v>11</v>
      </c>
      <c r="I148" s="15"/>
      <c r="J148" s="15"/>
      <c r="K148" s="7"/>
      <c r="L148" s="7"/>
      <c r="M148" s="15" t="str">
        <f t="shared" si="4"/>
        <v/>
      </c>
      <c r="N148" s="15" t="str">
        <f t="shared" si="5"/>
        <v/>
      </c>
      <c r="O148" s="4" t="s">
        <v>537</v>
      </c>
      <c r="P148" s="4"/>
      <c r="Q148" s="4" t="s">
        <v>538</v>
      </c>
    </row>
    <row r="149" ht="14.4" spans="1:17">
      <c r="A149" s="13">
        <v>148</v>
      </c>
      <c r="B149" s="7" t="s">
        <v>535</v>
      </c>
      <c r="C149" s="7" t="s">
        <v>215</v>
      </c>
      <c r="D149" s="7" t="s">
        <v>539</v>
      </c>
      <c r="E149" s="14" t="s">
        <v>203</v>
      </c>
      <c r="F149" s="7" t="s">
        <v>52</v>
      </c>
      <c r="G149" s="7" t="s">
        <v>491</v>
      </c>
      <c r="H149" s="7">
        <v>11</v>
      </c>
      <c r="I149" s="15"/>
      <c r="J149" s="15"/>
      <c r="K149" s="7"/>
      <c r="L149" s="7"/>
      <c r="M149" s="15" t="str">
        <f t="shared" si="4"/>
        <v/>
      </c>
      <c r="N149" s="15" t="str">
        <f t="shared" si="5"/>
        <v/>
      </c>
      <c r="O149" s="4" t="s">
        <v>540</v>
      </c>
      <c r="P149" s="4"/>
      <c r="Q149" s="4" t="s">
        <v>538</v>
      </c>
    </row>
    <row r="150" ht="14.4" spans="1:17">
      <c r="A150" s="13">
        <v>149</v>
      </c>
      <c r="B150" s="7" t="s">
        <v>535</v>
      </c>
      <c r="C150" s="7" t="s">
        <v>215</v>
      </c>
      <c r="D150" s="7" t="s">
        <v>541</v>
      </c>
      <c r="E150" s="14" t="s">
        <v>203</v>
      </c>
      <c r="F150" s="7" t="s">
        <v>52</v>
      </c>
      <c r="G150" s="7" t="s">
        <v>491</v>
      </c>
      <c r="H150" s="7"/>
      <c r="I150" s="15"/>
      <c r="J150" s="15"/>
      <c r="K150" s="7"/>
      <c r="L150" s="7"/>
      <c r="M150" s="15" t="str">
        <f t="shared" si="4"/>
        <v/>
      </c>
      <c r="N150" s="15" t="str">
        <f t="shared" si="5"/>
        <v/>
      </c>
      <c r="O150" s="4" t="s">
        <v>542</v>
      </c>
      <c r="P150" s="4"/>
      <c r="Q150" s="4" t="s">
        <v>538</v>
      </c>
    </row>
    <row r="151" ht="14.4" spans="1:17">
      <c r="A151" s="13">
        <v>150</v>
      </c>
      <c r="B151" s="7" t="s">
        <v>535</v>
      </c>
      <c r="C151" s="7" t="s">
        <v>215</v>
      </c>
      <c r="D151" s="7" t="s">
        <v>543</v>
      </c>
      <c r="E151" s="14" t="s">
        <v>203</v>
      </c>
      <c r="F151" s="7" t="s">
        <v>52</v>
      </c>
      <c r="G151" s="7" t="s">
        <v>491</v>
      </c>
      <c r="H151" s="7">
        <v>11</v>
      </c>
      <c r="I151" s="15"/>
      <c r="J151" s="15"/>
      <c r="K151" s="7"/>
      <c r="L151" s="7"/>
      <c r="M151" s="15" t="str">
        <f t="shared" si="4"/>
        <v/>
      </c>
      <c r="N151" s="15" t="str">
        <f t="shared" si="5"/>
        <v/>
      </c>
      <c r="O151" s="4" t="s">
        <v>544</v>
      </c>
      <c r="P151" s="4"/>
      <c r="Q151" s="4" t="s">
        <v>538</v>
      </c>
    </row>
    <row r="152" ht="14.4" spans="1:17">
      <c r="A152" s="13">
        <v>151</v>
      </c>
      <c r="B152" s="7" t="s">
        <v>535</v>
      </c>
      <c r="C152" s="7" t="s">
        <v>215</v>
      </c>
      <c r="D152" s="7" t="s">
        <v>545</v>
      </c>
      <c r="E152" s="14" t="s">
        <v>203</v>
      </c>
      <c r="F152" s="7" t="s">
        <v>52</v>
      </c>
      <c r="G152" s="7" t="s">
        <v>491</v>
      </c>
      <c r="H152" s="7"/>
      <c r="I152" s="15"/>
      <c r="J152" s="15"/>
      <c r="K152" s="7"/>
      <c r="L152" s="7"/>
      <c r="M152" s="15" t="str">
        <f t="shared" si="4"/>
        <v/>
      </c>
      <c r="N152" s="15" t="str">
        <f t="shared" si="5"/>
        <v/>
      </c>
      <c r="O152" s="4" t="s">
        <v>546</v>
      </c>
      <c r="P152" s="4"/>
      <c r="Q152" s="4" t="s">
        <v>538</v>
      </c>
    </row>
    <row r="153" ht="26.4" spans="1:17">
      <c r="A153" s="13">
        <v>152</v>
      </c>
      <c r="B153" s="7" t="s">
        <v>535</v>
      </c>
      <c r="C153" s="7" t="s">
        <v>226</v>
      </c>
      <c r="D153" s="7" t="s">
        <v>547</v>
      </c>
      <c r="E153" s="14" t="s">
        <v>203</v>
      </c>
      <c r="F153" s="7" t="s">
        <v>52</v>
      </c>
      <c r="G153" s="7" t="s">
        <v>491</v>
      </c>
      <c r="H153" s="7"/>
      <c r="I153" s="15"/>
      <c r="J153" s="15"/>
      <c r="K153" s="7"/>
      <c r="L153" s="7"/>
      <c r="M153" s="15" t="str">
        <f t="shared" si="4"/>
        <v/>
      </c>
      <c r="N153" s="15" t="str">
        <f t="shared" si="5"/>
        <v/>
      </c>
      <c r="O153" s="4" t="s">
        <v>548</v>
      </c>
      <c r="P153" s="4"/>
      <c r="Q153" s="4" t="s">
        <v>538</v>
      </c>
    </row>
    <row r="154" ht="14.4" spans="1:17">
      <c r="A154" s="13">
        <v>153</v>
      </c>
      <c r="B154" s="7" t="s">
        <v>535</v>
      </c>
      <c r="C154" s="7" t="s">
        <v>226</v>
      </c>
      <c r="D154" s="7" t="s">
        <v>549</v>
      </c>
      <c r="E154" s="14" t="s">
        <v>203</v>
      </c>
      <c r="F154" s="7" t="s">
        <v>52</v>
      </c>
      <c r="G154" s="7" t="s">
        <v>491</v>
      </c>
      <c r="H154" s="7">
        <v>11</v>
      </c>
      <c r="I154" s="15"/>
      <c r="J154" s="15"/>
      <c r="K154" s="7"/>
      <c r="L154" s="7"/>
      <c r="M154" s="15" t="str">
        <f t="shared" si="4"/>
        <v/>
      </c>
      <c r="N154" s="15" t="str">
        <f t="shared" si="5"/>
        <v/>
      </c>
      <c r="O154" s="4" t="s">
        <v>550</v>
      </c>
      <c r="P154" s="4"/>
      <c r="Q154" s="4" t="s">
        <v>538</v>
      </c>
    </row>
    <row r="155" ht="26.4" spans="1:17">
      <c r="A155" s="13">
        <v>154</v>
      </c>
      <c r="B155" s="7" t="s">
        <v>535</v>
      </c>
      <c r="C155" s="7" t="s">
        <v>226</v>
      </c>
      <c r="D155" s="7" t="s">
        <v>551</v>
      </c>
      <c r="E155" s="14" t="s">
        <v>203</v>
      </c>
      <c r="F155" s="7" t="s">
        <v>52</v>
      </c>
      <c r="G155" s="7" t="s">
        <v>491</v>
      </c>
      <c r="H155" s="7">
        <v>11</v>
      </c>
      <c r="I155" s="15"/>
      <c r="J155" s="15"/>
      <c r="K155" s="7"/>
      <c r="L155" s="7"/>
      <c r="M155" s="15" t="str">
        <f t="shared" si="4"/>
        <v/>
      </c>
      <c r="N155" s="15" t="str">
        <f t="shared" si="5"/>
        <v/>
      </c>
      <c r="O155" s="4" t="s">
        <v>552</v>
      </c>
      <c r="P155" s="4"/>
      <c r="Q155" s="4" t="s">
        <v>538</v>
      </c>
    </row>
    <row r="156" ht="14.4" spans="1:17">
      <c r="A156" s="13">
        <v>155</v>
      </c>
      <c r="B156" s="7" t="s">
        <v>535</v>
      </c>
      <c r="C156" s="7" t="s">
        <v>226</v>
      </c>
      <c r="D156" s="7" t="s">
        <v>553</v>
      </c>
      <c r="E156" s="14" t="s">
        <v>203</v>
      </c>
      <c r="F156" s="7" t="s">
        <v>52</v>
      </c>
      <c r="G156" s="7" t="s">
        <v>491</v>
      </c>
      <c r="H156" s="7"/>
      <c r="I156" s="15"/>
      <c r="J156" s="15"/>
      <c r="K156" s="7"/>
      <c r="L156" s="7"/>
      <c r="M156" s="15" t="str">
        <f t="shared" si="4"/>
        <v/>
      </c>
      <c r="N156" s="15" t="str">
        <f t="shared" si="5"/>
        <v/>
      </c>
      <c r="O156" s="4" t="s">
        <v>554</v>
      </c>
      <c r="P156" s="4"/>
      <c r="Q156" s="4" t="s">
        <v>538</v>
      </c>
    </row>
    <row r="157" ht="14.4" spans="1:17">
      <c r="A157" s="13">
        <v>156</v>
      </c>
      <c r="B157" s="7" t="s">
        <v>535</v>
      </c>
      <c r="C157" s="7" t="s">
        <v>241</v>
      </c>
      <c r="D157" s="7" t="s">
        <v>555</v>
      </c>
      <c r="E157" s="14" t="s">
        <v>203</v>
      </c>
      <c r="F157" s="7" t="s">
        <v>52</v>
      </c>
      <c r="G157" s="7" t="s">
        <v>491</v>
      </c>
      <c r="H157" s="7"/>
      <c r="I157" s="15"/>
      <c r="J157" s="15"/>
      <c r="K157" s="7"/>
      <c r="L157" s="7"/>
      <c r="M157" s="15" t="str">
        <f t="shared" si="4"/>
        <v/>
      </c>
      <c r="N157" s="15" t="str">
        <f t="shared" si="5"/>
        <v/>
      </c>
      <c r="O157" s="4" t="s">
        <v>556</v>
      </c>
      <c r="P157" s="4"/>
      <c r="Q157" s="4" t="s">
        <v>538</v>
      </c>
    </row>
    <row r="158" ht="26.4" spans="1:17">
      <c r="A158" s="13">
        <v>157</v>
      </c>
      <c r="B158" s="7" t="s">
        <v>535</v>
      </c>
      <c r="C158" s="7" t="s">
        <v>241</v>
      </c>
      <c r="D158" s="7" t="s">
        <v>557</v>
      </c>
      <c r="E158" s="14" t="s">
        <v>203</v>
      </c>
      <c r="F158" s="7" t="s">
        <v>52</v>
      </c>
      <c r="G158" s="7" t="s">
        <v>491</v>
      </c>
      <c r="H158" s="7"/>
      <c r="I158" s="15"/>
      <c r="J158" s="15"/>
      <c r="K158" s="7"/>
      <c r="L158" s="7"/>
      <c r="M158" s="15" t="str">
        <f t="shared" si="4"/>
        <v/>
      </c>
      <c r="N158" s="15" t="str">
        <f t="shared" si="5"/>
        <v/>
      </c>
      <c r="O158" s="4" t="s">
        <v>558</v>
      </c>
      <c r="P158" s="4"/>
      <c r="Q158" s="4" t="s">
        <v>538</v>
      </c>
    </row>
    <row r="159" ht="26.4" spans="1:17">
      <c r="A159" s="13">
        <v>158</v>
      </c>
      <c r="B159" s="7" t="s">
        <v>535</v>
      </c>
      <c r="C159" s="7" t="s">
        <v>241</v>
      </c>
      <c r="D159" s="7" t="s">
        <v>559</v>
      </c>
      <c r="E159" s="14" t="s">
        <v>203</v>
      </c>
      <c r="F159" s="7" t="s">
        <v>52</v>
      </c>
      <c r="G159" s="7" t="s">
        <v>491</v>
      </c>
      <c r="H159" s="7"/>
      <c r="I159" s="15"/>
      <c r="J159" s="15"/>
      <c r="K159" s="7"/>
      <c r="L159" s="7"/>
      <c r="M159" s="15" t="str">
        <f t="shared" si="4"/>
        <v/>
      </c>
      <c r="N159" s="15" t="str">
        <f t="shared" si="5"/>
        <v/>
      </c>
      <c r="O159" s="4" t="s">
        <v>560</v>
      </c>
      <c r="P159" s="4"/>
      <c r="Q159" s="4" t="s">
        <v>538</v>
      </c>
    </row>
    <row r="160" ht="26.4" spans="1:17">
      <c r="A160" s="13">
        <v>159</v>
      </c>
      <c r="B160" s="7" t="s">
        <v>535</v>
      </c>
      <c r="C160" s="7" t="s">
        <v>241</v>
      </c>
      <c r="D160" s="7" t="s">
        <v>561</v>
      </c>
      <c r="E160" s="14" t="s">
        <v>203</v>
      </c>
      <c r="F160" s="7" t="s">
        <v>52</v>
      </c>
      <c r="G160" s="7" t="s">
        <v>491</v>
      </c>
      <c r="H160" s="7">
        <v>31</v>
      </c>
      <c r="I160" s="15"/>
      <c r="J160" s="15"/>
      <c r="K160" s="7"/>
      <c r="L160" s="7"/>
      <c r="M160" s="15" t="str">
        <f t="shared" si="4"/>
        <v/>
      </c>
      <c r="N160" s="15" t="str">
        <f t="shared" si="5"/>
        <v/>
      </c>
      <c r="O160" s="4" t="s">
        <v>562</v>
      </c>
      <c r="P160" s="4"/>
      <c r="Q160" s="4" t="s">
        <v>538</v>
      </c>
    </row>
    <row r="161" ht="26.4" spans="1:17">
      <c r="A161" s="13">
        <v>160</v>
      </c>
      <c r="B161" s="7" t="s">
        <v>535</v>
      </c>
      <c r="C161" s="7" t="s">
        <v>241</v>
      </c>
      <c r="D161" s="7" t="s">
        <v>563</v>
      </c>
      <c r="E161" s="14" t="s">
        <v>203</v>
      </c>
      <c r="F161" s="7" t="s">
        <v>52</v>
      </c>
      <c r="G161" s="7" t="s">
        <v>491</v>
      </c>
      <c r="H161" s="7">
        <v>31</v>
      </c>
      <c r="I161" s="15"/>
      <c r="J161" s="15"/>
      <c r="K161" s="7"/>
      <c r="L161" s="7"/>
      <c r="M161" s="15" t="str">
        <f t="shared" si="4"/>
        <v/>
      </c>
      <c r="N161" s="15" t="str">
        <f t="shared" si="5"/>
        <v/>
      </c>
      <c r="O161" s="4" t="s">
        <v>564</v>
      </c>
      <c r="P161" s="4"/>
      <c r="Q161" s="4" t="s">
        <v>538</v>
      </c>
    </row>
    <row r="162" ht="14.4" spans="1:17">
      <c r="A162" s="13">
        <v>161</v>
      </c>
      <c r="B162" s="7" t="s">
        <v>535</v>
      </c>
      <c r="C162" s="7" t="s">
        <v>299</v>
      </c>
      <c r="D162" s="7" t="s">
        <v>565</v>
      </c>
      <c r="E162" s="14" t="s">
        <v>203</v>
      </c>
      <c r="F162" s="7" t="s">
        <v>52</v>
      </c>
      <c r="G162" s="7" t="s">
        <v>491</v>
      </c>
      <c r="H162" s="7">
        <v>16</v>
      </c>
      <c r="I162" s="15"/>
      <c r="J162" s="15"/>
      <c r="K162" s="7"/>
      <c r="L162" s="7"/>
      <c r="M162" s="15" t="str">
        <f t="shared" si="4"/>
        <v/>
      </c>
      <c r="N162" s="15" t="str">
        <f t="shared" si="5"/>
        <v/>
      </c>
      <c r="O162" s="4" t="s">
        <v>566</v>
      </c>
      <c r="P162" s="4"/>
      <c r="Q162" s="4" t="s">
        <v>538</v>
      </c>
    </row>
    <row r="163" ht="14.4" spans="1:17">
      <c r="A163" s="16">
        <v>162</v>
      </c>
      <c r="B163" s="7" t="s">
        <v>535</v>
      </c>
      <c r="C163" s="7" t="s">
        <v>299</v>
      </c>
      <c r="D163" s="7" t="s">
        <v>434</v>
      </c>
      <c r="E163" s="14" t="s">
        <v>203</v>
      </c>
      <c r="F163" s="7" t="s">
        <v>252</v>
      </c>
      <c r="G163" s="7" t="s">
        <v>401</v>
      </c>
      <c r="H163" s="7"/>
      <c r="I163" s="15"/>
      <c r="J163" s="15"/>
      <c r="K163" s="7"/>
      <c r="L163" s="7"/>
      <c r="M163" s="15" t="str">
        <f t="shared" si="4"/>
        <v/>
      </c>
      <c r="N163" s="15" t="str">
        <f t="shared" si="5"/>
        <v/>
      </c>
      <c r="O163" s="4" t="s">
        <v>567</v>
      </c>
      <c r="P163" s="4"/>
      <c r="Q163" s="4" t="s">
        <v>538</v>
      </c>
    </row>
    <row r="164" ht="14.4" spans="1:17">
      <c r="A164" s="13">
        <v>163</v>
      </c>
      <c r="B164" s="7" t="s">
        <v>535</v>
      </c>
      <c r="C164" s="7" t="s">
        <v>306</v>
      </c>
      <c r="D164" s="7" t="s">
        <v>490</v>
      </c>
      <c r="E164" s="14" t="s">
        <v>203</v>
      </c>
      <c r="F164" s="7" t="s">
        <v>52</v>
      </c>
      <c r="G164" s="7" t="s">
        <v>491</v>
      </c>
      <c r="H164" s="7"/>
      <c r="I164" s="15"/>
      <c r="J164" s="15"/>
      <c r="K164" s="7"/>
      <c r="L164" s="7"/>
      <c r="M164" s="15" t="str">
        <f t="shared" si="4"/>
        <v/>
      </c>
      <c r="N164" s="15" t="str">
        <f t="shared" si="5"/>
        <v/>
      </c>
      <c r="O164" s="4" t="s">
        <v>568</v>
      </c>
      <c r="P164" s="4"/>
      <c r="Q164" s="4" t="s">
        <v>538</v>
      </c>
    </row>
    <row r="165" ht="14.4" spans="1:17">
      <c r="A165" s="13">
        <v>164</v>
      </c>
      <c r="B165" s="7" t="s">
        <v>535</v>
      </c>
      <c r="C165" s="7" t="s">
        <v>306</v>
      </c>
      <c r="D165" s="7" t="s">
        <v>569</v>
      </c>
      <c r="E165" s="14" t="s">
        <v>203</v>
      </c>
      <c r="F165" s="7" t="s">
        <v>52</v>
      </c>
      <c r="G165" s="7" t="s">
        <v>491</v>
      </c>
      <c r="H165" s="7"/>
      <c r="I165" s="15"/>
      <c r="J165" s="15"/>
      <c r="K165" s="7"/>
      <c r="L165" s="7"/>
      <c r="M165" s="15" t="str">
        <f t="shared" si="4"/>
        <v/>
      </c>
      <c r="N165" s="15" t="str">
        <f t="shared" si="5"/>
        <v/>
      </c>
      <c r="O165" s="4" t="s">
        <v>570</v>
      </c>
      <c r="P165" s="4"/>
      <c r="Q165" s="4" t="s">
        <v>538</v>
      </c>
    </row>
    <row r="166" ht="14.4" spans="1:17">
      <c r="A166" s="13">
        <v>165</v>
      </c>
      <c r="B166" s="7" t="s">
        <v>535</v>
      </c>
      <c r="C166" s="7" t="s">
        <v>306</v>
      </c>
      <c r="D166" s="7" t="s">
        <v>571</v>
      </c>
      <c r="E166" s="14" t="s">
        <v>203</v>
      </c>
      <c r="F166" s="7" t="s">
        <v>52</v>
      </c>
      <c r="G166" s="7" t="s">
        <v>491</v>
      </c>
      <c r="H166" s="7"/>
      <c r="I166" s="15"/>
      <c r="J166" s="15"/>
      <c r="K166" s="7"/>
      <c r="L166" s="7"/>
      <c r="M166" s="15" t="str">
        <f t="shared" si="4"/>
        <v/>
      </c>
      <c r="N166" s="15" t="str">
        <f t="shared" si="5"/>
        <v/>
      </c>
      <c r="O166" s="4" t="s">
        <v>572</v>
      </c>
      <c r="P166" s="4"/>
      <c r="Q166" s="4" t="s">
        <v>538</v>
      </c>
    </row>
    <row r="167" ht="26.4" spans="1:17">
      <c r="A167" s="13">
        <v>166</v>
      </c>
      <c r="B167" s="7" t="s">
        <v>573</v>
      </c>
      <c r="C167" s="7" t="s">
        <v>215</v>
      </c>
      <c r="D167" s="7" t="s">
        <v>574</v>
      </c>
      <c r="E167" s="14" t="s">
        <v>203</v>
      </c>
      <c r="F167" s="7" t="s">
        <v>52</v>
      </c>
      <c r="G167" s="7" t="s">
        <v>253</v>
      </c>
      <c r="H167" s="7"/>
      <c r="I167" s="15"/>
      <c r="J167" s="15"/>
      <c r="K167" s="7"/>
      <c r="L167" s="7"/>
      <c r="M167" s="15" t="str">
        <f t="shared" si="4"/>
        <v/>
      </c>
      <c r="N167" s="15" t="str">
        <f t="shared" si="5"/>
        <v/>
      </c>
      <c r="O167" s="4" t="s">
        <v>575</v>
      </c>
      <c r="P167" s="4"/>
      <c r="Q167" s="4" t="s">
        <v>576</v>
      </c>
    </row>
    <row r="168" ht="26.4" spans="1:17">
      <c r="A168" s="13">
        <v>167</v>
      </c>
      <c r="B168" s="7" t="s">
        <v>573</v>
      </c>
      <c r="C168" s="7" t="s">
        <v>215</v>
      </c>
      <c r="D168" s="7" t="s">
        <v>577</v>
      </c>
      <c r="E168" s="14" t="s">
        <v>203</v>
      </c>
      <c r="F168" s="7" t="s">
        <v>52</v>
      </c>
      <c r="G168" s="7" t="s">
        <v>253</v>
      </c>
      <c r="H168" s="7"/>
      <c r="I168" s="15"/>
      <c r="J168" s="15"/>
      <c r="K168" s="7"/>
      <c r="L168" s="7"/>
      <c r="M168" s="15" t="str">
        <f t="shared" si="4"/>
        <v/>
      </c>
      <c r="N168" s="15" t="str">
        <f t="shared" si="5"/>
        <v/>
      </c>
      <c r="O168" s="4" t="s">
        <v>578</v>
      </c>
      <c r="P168" s="4"/>
      <c r="Q168" s="4" t="s">
        <v>576</v>
      </c>
    </row>
    <row r="169" ht="26.4" spans="1:17">
      <c r="A169" s="13">
        <v>168</v>
      </c>
      <c r="B169" s="7" t="s">
        <v>573</v>
      </c>
      <c r="C169" s="7" t="s">
        <v>215</v>
      </c>
      <c r="D169" s="7" t="s">
        <v>579</v>
      </c>
      <c r="E169" s="14" t="s">
        <v>203</v>
      </c>
      <c r="F169" s="7" t="s">
        <v>52</v>
      </c>
      <c r="G169" s="7" t="s">
        <v>253</v>
      </c>
      <c r="H169" s="7">
        <v>13</v>
      </c>
      <c r="I169" s="15"/>
      <c r="J169" s="15"/>
      <c r="K169" s="7"/>
      <c r="L169" s="7"/>
      <c r="M169" s="15" t="str">
        <f t="shared" si="4"/>
        <v/>
      </c>
      <c r="N169" s="15" t="str">
        <f t="shared" si="5"/>
        <v/>
      </c>
      <c r="O169" s="4" t="s">
        <v>580</v>
      </c>
      <c r="P169" s="4"/>
      <c r="Q169" s="4" t="s">
        <v>576</v>
      </c>
    </row>
    <row r="170" ht="26.4" spans="1:17">
      <c r="A170" s="13">
        <v>169</v>
      </c>
      <c r="B170" s="7" t="s">
        <v>573</v>
      </c>
      <c r="C170" s="7" t="s">
        <v>215</v>
      </c>
      <c r="D170" s="7" t="s">
        <v>581</v>
      </c>
      <c r="E170" s="14" t="s">
        <v>203</v>
      </c>
      <c r="F170" s="7" t="s">
        <v>52</v>
      </c>
      <c r="G170" s="7" t="s">
        <v>253</v>
      </c>
      <c r="H170" s="7">
        <v>13</v>
      </c>
      <c r="I170" s="15"/>
      <c r="J170" s="15"/>
      <c r="K170" s="7"/>
      <c r="L170" s="7"/>
      <c r="M170" s="15" t="str">
        <f t="shared" si="4"/>
        <v/>
      </c>
      <c r="N170" s="15" t="str">
        <f t="shared" si="5"/>
        <v/>
      </c>
      <c r="O170" s="4" t="s">
        <v>582</v>
      </c>
      <c r="P170" s="4"/>
      <c r="Q170" s="4" t="s">
        <v>576</v>
      </c>
    </row>
    <row r="171" ht="26.4" spans="1:17">
      <c r="A171" s="13">
        <v>170</v>
      </c>
      <c r="B171" s="7" t="s">
        <v>573</v>
      </c>
      <c r="C171" s="7" t="s">
        <v>226</v>
      </c>
      <c r="D171" s="7" t="s">
        <v>583</v>
      </c>
      <c r="E171" s="14" t="s">
        <v>203</v>
      </c>
      <c r="F171" s="7" t="s">
        <v>52</v>
      </c>
      <c r="G171" s="7" t="s">
        <v>253</v>
      </c>
      <c r="H171" s="7"/>
      <c r="I171" s="15"/>
      <c r="J171" s="15"/>
      <c r="K171" s="7"/>
      <c r="L171" s="7"/>
      <c r="M171" s="15" t="str">
        <f t="shared" si="4"/>
        <v/>
      </c>
      <c r="N171" s="15" t="str">
        <f t="shared" si="5"/>
        <v/>
      </c>
      <c r="O171" s="4" t="s">
        <v>584</v>
      </c>
      <c r="P171" s="4"/>
      <c r="Q171" s="4" t="s">
        <v>576</v>
      </c>
    </row>
    <row r="172" ht="26.4" spans="1:17">
      <c r="A172" s="13">
        <v>171</v>
      </c>
      <c r="B172" s="7" t="s">
        <v>573</v>
      </c>
      <c r="C172" s="7" t="s">
        <v>226</v>
      </c>
      <c r="D172" s="7" t="s">
        <v>585</v>
      </c>
      <c r="E172" s="14" t="s">
        <v>203</v>
      </c>
      <c r="F172" s="7" t="s">
        <v>52</v>
      </c>
      <c r="G172" s="7" t="s">
        <v>253</v>
      </c>
      <c r="H172" s="7">
        <v>13</v>
      </c>
      <c r="I172" s="15"/>
      <c r="J172" s="15"/>
      <c r="K172" s="7"/>
      <c r="L172" s="7"/>
      <c r="M172" s="15" t="str">
        <f t="shared" si="4"/>
        <v/>
      </c>
      <c r="N172" s="15" t="str">
        <f t="shared" si="5"/>
        <v/>
      </c>
      <c r="O172" s="4" t="s">
        <v>586</v>
      </c>
      <c r="P172" s="4"/>
      <c r="Q172" s="4" t="s">
        <v>576</v>
      </c>
    </row>
    <row r="173" ht="26.4" spans="1:17">
      <c r="A173" s="13">
        <v>172</v>
      </c>
      <c r="B173" s="7" t="s">
        <v>573</v>
      </c>
      <c r="C173" s="7" t="s">
        <v>226</v>
      </c>
      <c r="D173" s="7" t="s">
        <v>587</v>
      </c>
      <c r="E173" s="14" t="s">
        <v>203</v>
      </c>
      <c r="F173" s="7" t="s">
        <v>52</v>
      </c>
      <c r="G173" s="7" t="s">
        <v>253</v>
      </c>
      <c r="H173" s="7"/>
      <c r="I173" s="15"/>
      <c r="J173" s="15"/>
      <c r="K173" s="7"/>
      <c r="L173" s="7"/>
      <c r="M173" s="15" t="str">
        <f t="shared" si="4"/>
        <v/>
      </c>
      <c r="N173" s="15" t="str">
        <f t="shared" si="5"/>
        <v/>
      </c>
      <c r="O173" s="4" t="s">
        <v>588</v>
      </c>
      <c r="P173" s="4"/>
      <c r="Q173" s="4" t="s">
        <v>576</v>
      </c>
    </row>
    <row r="174" ht="26.4" spans="1:17">
      <c r="A174" s="13">
        <v>173</v>
      </c>
      <c r="B174" s="7" t="s">
        <v>573</v>
      </c>
      <c r="C174" s="7" t="s">
        <v>226</v>
      </c>
      <c r="D174" s="7" t="s">
        <v>589</v>
      </c>
      <c r="E174" s="14" t="s">
        <v>203</v>
      </c>
      <c r="F174" s="7" t="s">
        <v>52</v>
      </c>
      <c r="G174" s="7" t="s">
        <v>253</v>
      </c>
      <c r="H174" s="7"/>
      <c r="I174" s="15"/>
      <c r="J174" s="15"/>
      <c r="K174" s="7"/>
      <c r="L174" s="7"/>
      <c r="M174" s="15" t="str">
        <f t="shared" si="4"/>
        <v/>
      </c>
      <c r="N174" s="15" t="str">
        <f t="shared" si="5"/>
        <v/>
      </c>
      <c r="O174" s="4" t="s">
        <v>590</v>
      </c>
      <c r="P174" s="4"/>
      <c r="Q174" s="4" t="s">
        <v>576</v>
      </c>
    </row>
    <row r="175" ht="26.4" spans="1:17">
      <c r="A175" s="13">
        <v>174</v>
      </c>
      <c r="B175" s="7" t="s">
        <v>573</v>
      </c>
      <c r="C175" s="7" t="s">
        <v>226</v>
      </c>
      <c r="D175" s="7" t="s">
        <v>591</v>
      </c>
      <c r="E175" s="14" t="s">
        <v>203</v>
      </c>
      <c r="F175" s="7" t="s">
        <v>52</v>
      </c>
      <c r="G175" s="7" t="s">
        <v>253</v>
      </c>
      <c r="H175" s="7"/>
      <c r="I175" s="15"/>
      <c r="J175" s="15"/>
      <c r="K175" s="7"/>
      <c r="L175" s="7"/>
      <c r="M175" s="15" t="str">
        <f t="shared" si="4"/>
        <v/>
      </c>
      <c r="N175" s="15" t="str">
        <f t="shared" si="5"/>
        <v/>
      </c>
      <c r="O175" s="4" t="s">
        <v>592</v>
      </c>
      <c r="P175" s="4"/>
      <c r="Q175" s="4" t="s">
        <v>576</v>
      </c>
    </row>
    <row r="176" ht="26.4" spans="1:17">
      <c r="A176" s="13">
        <v>175</v>
      </c>
      <c r="B176" s="7" t="s">
        <v>573</v>
      </c>
      <c r="C176" s="7" t="s">
        <v>226</v>
      </c>
      <c r="D176" s="7" t="s">
        <v>593</v>
      </c>
      <c r="E176" s="14" t="s">
        <v>203</v>
      </c>
      <c r="F176" s="7" t="s">
        <v>52</v>
      </c>
      <c r="G176" s="7" t="s">
        <v>253</v>
      </c>
      <c r="H176" s="7">
        <v>13</v>
      </c>
      <c r="I176" s="15"/>
      <c r="J176" s="15"/>
      <c r="K176" s="7"/>
      <c r="L176" s="7"/>
      <c r="M176" s="15" t="str">
        <f t="shared" si="4"/>
        <v/>
      </c>
      <c r="N176" s="15" t="str">
        <f t="shared" si="5"/>
        <v/>
      </c>
      <c r="O176" s="4" t="s">
        <v>594</v>
      </c>
      <c r="P176" s="4"/>
      <c r="Q176" s="4" t="s">
        <v>576</v>
      </c>
    </row>
    <row r="177" ht="26.4" spans="1:17">
      <c r="A177" s="13">
        <v>176</v>
      </c>
      <c r="B177" s="7" t="s">
        <v>573</v>
      </c>
      <c r="C177" s="7" t="s">
        <v>226</v>
      </c>
      <c r="D177" s="7" t="s">
        <v>251</v>
      </c>
      <c r="E177" s="14" t="s">
        <v>203</v>
      </c>
      <c r="F177" s="7" t="s">
        <v>52</v>
      </c>
      <c r="G177" s="7" t="s">
        <v>253</v>
      </c>
      <c r="H177" s="7">
        <v>13</v>
      </c>
      <c r="I177" s="15"/>
      <c r="J177" s="15"/>
      <c r="K177" s="7"/>
      <c r="L177" s="7"/>
      <c r="M177" s="15" t="str">
        <f t="shared" si="4"/>
        <v/>
      </c>
      <c r="N177" s="15" t="str">
        <f t="shared" si="5"/>
        <v/>
      </c>
      <c r="O177" s="4" t="s">
        <v>595</v>
      </c>
      <c r="P177" s="4"/>
      <c r="Q177" s="4" t="s">
        <v>576</v>
      </c>
    </row>
    <row r="178" ht="26.4" spans="1:17">
      <c r="A178" s="13">
        <v>177</v>
      </c>
      <c r="B178" s="7" t="s">
        <v>573</v>
      </c>
      <c r="C178" s="7" t="s">
        <v>241</v>
      </c>
      <c r="D178" s="7" t="s">
        <v>596</v>
      </c>
      <c r="E178" s="14" t="s">
        <v>203</v>
      </c>
      <c r="F178" s="7" t="s">
        <v>52</v>
      </c>
      <c r="G178" s="7" t="s">
        <v>253</v>
      </c>
      <c r="H178" s="7"/>
      <c r="I178" s="15"/>
      <c r="J178" s="15"/>
      <c r="K178" s="7"/>
      <c r="L178" s="7"/>
      <c r="M178" s="15" t="str">
        <f t="shared" si="4"/>
        <v/>
      </c>
      <c r="N178" s="15" t="str">
        <f t="shared" si="5"/>
        <v/>
      </c>
      <c r="O178" s="4" t="s">
        <v>597</v>
      </c>
      <c r="P178" s="4"/>
      <c r="Q178" s="4" t="s">
        <v>576</v>
      </c>
    </row>
    <row r="179" ht="26.4" spans="1:17">
      <c r="A179" s="13">
        <v>178</v>
      </c>
      <c r="B179" s="7" t="s">
        <v>573</v>
      </c>
      <c r="C179" s="7" t="s">
        <v>241</v>
      </c>
      <c r="D179" s="7" t="s">
        <v>598</v>
      </c>
      <c r="E179" s="14" t="s">
        <v>203</v>
      </c>
      <c r="F179" s="7" t="s">
        <v>52</v>
      </c>
      <c r="G179" s="7" t="s">
        <v>253</v>
      </c>
      <c r="H179" s="7"/>
      <c r="I179" s="15"/>
      <c r="J179" s="15"/>
      <c r="K179" s="7"/>
      <c r="L179" s="7"/>
      <c r="M179" s="15" t="str">
        <f t="shared" si="4"/>
        <v/>
      </c>
      <c r="N179" s="15" t="str">
        <f t="shared" si="5"/>
        <v/>
      </c>
      <c r="O179" s="4" t="s">
        <v>599</v>
      </c>
      <c r="P179" s="4"/>
      <c r="Q179" s="4" t="s">
        <v>576</v>
      </c>
    </row>
    <row r="180" ht="26.4" spans="1:17">
      <c r="A180" s="16">
        <v>179</v>
      </c>
      <c r="B180" s="7" t="s">
        <v>573</v>
      </c>
      <c r="C180" s="7" t="s">
        <v>241</v>
      </c>
      <c r="D180" s="7" t="s">
        <v>242</v>
      </c>
      <c r="E180" s="14" t="s">
        <v>203</v>
      </c>
      <c r="F180" s="7" t="s">
        <v>252</v>
      </c>
      <c r="G180" s="7" t="s">
        <v>217</v>
      </c>
      <c r="H180" s="7"/>
      <c r="I180" s="15"/>
      <c r="J180" s="15"/>
      <c r="K180" s="7"/>
      <c r="L180" s="7"/>
      <c r="M180" s="15" t="str">
        <f t="shared" si="4"/>
        <v/>
      </c>
      <c r="N180" s="15" t="str">
        <f t="shared" si="5"/>
        <v/>
      </c>
      <c r="O180" s="4" t="s">
        <v>600</v>
      </c>
      <c r="P180" s="4"/>
      <c r="Q180" s="4" t="s">
        <v>576</v>
      </c>
    </row>
    <row r="181" ht="26.4" spans="1:17">
      <c r="A181" s="13">
        <v>180</v>
      </c>
      <c r="B181" s="7" t="s">
        <v>573</v>
      </c>
      <c r="C181" s="7" t="s">
        <v>299</v>
      </c>
      <c r="D181" s="7" t="s">
        <v>601</v>
      </c>
      <c r="E181" s="14" t="s">
        <v>203</v>
      </c>
      <c r="F181" s="7" t="s">
        <v>52</v>
      </c>
      <c r="G181" s="7" t="s">
        <v>253</v>
      </c>
      <c r="H181" s="7"/>
      <c r="I181" s="15"/>
      <c r="J181" s="15"/>
      <c r="K181" s="7"/>
      <c r="L181" s="7"/>
      <c r="M181" s="15" t="str">
        <f t="shared" si="4"/>
        <v/>
      </c>
      <c r="N181" s="15" t="str">
        <f t="shared" si="5"/>
        <v/>
      </c>
      <c r="O181" s="4" t="s">
        <v>602</v>
      </c>
      <c r="P181" s="4"/>
      <c r="Q181" s="4" t="s">
        <v>576</v>
      </c>
    </row>
    <row r="182" ht="26.4" spans="1:17">
      <c r="A182" s="13">
        <v>181</v>
      </c>
      <c r="B182" s="7" t="s">
        <v>573</v>
      </c>
      <c r="C182" s="7" t="s">
        <v>299</v>
      </c>
      <c r="D182" s="7" t="s">
        <v>603</v>
      </c>
      <c r="E182" s="14" t="s">
        <v>203</v>
      </c>
      <c r="F182" s="7" t="s">
        <v>52</v>
      </c>
      <c r="G182" s="7" t="s">
        <v>253</v>
      </c>
      <c r="H182" s="7"/>
      <c r="I182" s="15"/>
      <c r="J182" s="15"/>
      <c r="K182" s="7"/>
      <c r="L182" s="7"/>
      <c r="M182" s="15" t="str">
        <f t="shared" si="4"/>
        <v/>
      </c>
      <c r="N182" s="15" t="str">
        <f t="shared" si="5"/>
        <v/>
      </c>
      <c r="O182" s="4" t="s">
        <v>604</v>
      </c>
      <c r="P182" s="4"/>
      <c r="Q182" s="4" t="s">
        <v>576</v>
      </c>
    </row>
    <row r="183" ht="26.4" spans="1:17">
      <c r="A183" s="13">
        <v>182</v>
      </c>
      <c r="B183" s="7" t="s">
        <v>573</v>
      </c>
      <c r="C183" s="7" t="s">
        <v>299</v>
      </c>
      <c r="D183" s="7" t="s">
        <v>605</v>
      </c>
      <c r="E183" s="14" t="s">
        <v>203</v>
      </c>
      <c r="F183" s="7" t="s">
        <v>52</v>
      </c>
      <c r="G183" s="7" t="s">
        <v>253</v>
      </c>
      <c r="H183" s="7"/>
      <c r="I183" s="15"/>
      <c r="J183" s="15"/>
      <c r="K183" s="7"/>
      <c r="L183" s="7"/>
      <c r="M183" s="15" t="str">
        <f t="shared" si="4"/>
        <v/>
      </c>
      <c r="N183" s="15" t="str">
        <f t="shared" si="5"/>
        <v/>
      </c>
      <c r="O183" s="4" t="s">
        <v>606</v>
      </c>
      <c r="P183" s="4"/>
      <c r="Q183" s="4" t="s">
        <v>576</v>
      </c>
    </row>
    <row r="184" ht="26.4" spans="1:17">
      <c r="A184" s="16">
        <v>183</v>
      </c>
      <c r="B184" s="7" t="s">
        <v>573</v>
      </c>
      <c r="C184" s="7" t="s">
        <v>306</v>
      </c>
      <c r="D184" s="7" t="s">
        <v>488</v>
      </c>
      <c r="E184" s="14" t="s">
        <v>203</v>
      </c>
      <c r="F184" s="7" t="s">
        <v>252</v>
      </c>
      <c r="G184" s="7" t="s">
        <v>446</v>
      </c>
      <c r="H184" s="7"/>
      <c r="I184" s="15"/>
      <c r="J184" s="15"/>
      <c r="K184" s="7"/>
      <c r="L184" s="7"/>
      <c r="M184" s="15" t="str">
        <f t="shared" si="4"/>
        <v/>
      </c>
      <c r="N184" s="15" t="str">
        <f t="shared" si="5"/>
        <v/>
      </c>
      <c r="O184" s="4" t="s">
        <v>607</v>
      </c>
      <c r="P184" s="4"/>
      <c r="Q184" s="4" t="s">
        <v>576</v>
      </c>
    </row>
    <row r="185" ht="26.4" spans="1:17">
      <c r="A185" s="13">
        <v>184</v>
      </c>
      <c r="B185" s="7" t="s">
        <v>573</v>
      </c>
      <c r="C185" s="7" t="s">
        <v>306</v>
      </c>
      <c r="D185" s="7" t="s">
        <v>608</v>
      </c>
      <c r="E185" s="14" t="s">
        <v>203</v>
      </c>
      <c r="F185" s="7" t="s">
        <v>52</v>
      </c>
      <c r="G185" s="7" t="s">
        <v>253</v>
      </c>
      <c r="H185" s="7"/>
      <c r="I185" s="15"/>
      <c r="J185" s="15"/>
      <c r="K185" s="7"/>
      <c r="L185" s="7"/>
      <c r="M185" s="15" t="str">
        <f t="shared" si="4"/>
        <v/>
      </c>
      <c r="N185" s="15" t="str">
        <f t="shared" si="5"/>
        <v/>
      </c>
      <c r="O185" s="4" t="s">
        <v>609</v>
      </c>
      <c r="P185" s="4"/>
      <c r="Q185" s="4" t="s">
        <v>576</v>
      </c>
    </row>
  </sheetData>
  <conditionalFormatting sqref="F2:F185">
    <cfRule type="cellIs" dxfId="30" priority="1" operator="equal">
      <formula>"AC"</formula>
    </cfRule>
    <cfRule type="cellIs" dxfId="31" priority="2" operator="equal">
      <formula>"Retry"</formula>
    </cfRule>
  </conditionalFormatting>
  <dataValidations count="1">
    <dataValidation type="list" allowBlank="1" showInputMessage="1" showErrorMessage="1" sqref="F2:F185">
      <formula1>TaskStatusList</formula1>
    </dataValidation>
  </dataValidations>
  <hyperlinks>
    <hyperlink ref="E2" r:id="rId2" display="Submit" tooltip="Open submit judge"/>
    <hyperlink ref="E3" r:id="rId3" display="Submit" tooltip="Open submit judge"/>
    <hyperlink ref="E4" r:id="rId4" display="Submit" tooltip="Open submit judge"/>
    <hyperlink ref="E5" r:id="rId5" display="Submit" tooltip="Open submit judge"/>
    <hyperlink ref="E6" r:id="rId6" display="Submit" tooltip="Open submit judge"/>
    <hyperlink ref="E7" r:id="rId7" display="Submit" tooltip="Open submit judge"/>
    <hyperlink ref="E8" r:id="rId8" display="Submit" tooltip="Open submit judge"/>
    <hyperlink ref="E9" r:id="rId9" display="Submit" tooltip="Open submit judge"/>
    <hyperlink ref="E10" r:id="rId10" display="Submit" tooltip="Open submit judge"/>
    <hyperlink ref="E11" r:id="rId11" display="Submit" tooltip="Open submit judge"/>
    <hyperlink ref="E12" r:id="rId12" display="Submit" tooltip="Open submit judge"/>
    <hyperlink ref="E13" r:id="rId13" display="Submit" tooltip="Open submit judge"/>
    <hyperlink ref="E14" r:id="rId14" display="Submit" tooltip="Open submit judge"/>
    <hyperlink ref="E15" r:id="rId15" display="Submit" tooltip="Open submit judge"/>
    <hyperlink ref="E16" r:id="rId16" display="Submit" tooltip="Open submit judge"/>
    <hyperlink ref="E17" r:id="rId17" display="Submit" tooltip="Open submit judge"/>
    <hyperlink ref="E18" r:id="rId18" display="Submit" tooltip="Open submit judge"/>
    <hyperlink ref="E19" r:id="rId19" display="Submit" tooltip="Open submit judge"/>
    <hyperlink ref="E20" r:id="rId20" display="Submit" tooltip="Open submit judge"/>
    <hyperlink ref="E21" r:id="rId21" display="Submit" tooltip="Open submit judge"/>
    <hyperlink ref="E22" r:id="rId22" display="Submit" tooltip="Open submit judge"/>
    <hyperlink ref="E23" r:id="rId23" display="Submit" tooltip="Open submit judge"/>
    <hyperlink ref="E24" r:id="rId24" display="Submit" tooltip="Open submit judge"/>
    <hyperlink ref="E25" r:id="rId25" display="Submit" tooltip="Open submit judge"/>
    <hyperlink ref="E26" r:id="rId26" display="Submit" tooltip="Open submit judge"/>
    <hyperlink ref="E27" r:id="rId27" display="Submit" tooltip="Open submit judge"/>
    <hyperlink ref="E28" r:id="rId28" display="Submit" tooltip="Open submit judge"/>
    <hyperlink ref="E29" r:id="rId29" display="Submit" tooltip="Open submit judge"/>
    <hyperlink ref="E30" r:id="rId30" display="Submit" tooltip="Open submit judge"/>
    <hyperlink ref="E31" r:id="rId31" display="Submit" tooltip="Open submit judge"/>
    <hyperlink ref="E32" r:id="rId32" display="Submit" tooltip="Open submit judge"/>
    <hyperlink ref="E33" r:id="rId33" display="Submit" tooltip="Open submit judge"/>
    <hyperlink ref="E34" r:id="rId34" display="Submit" tooltip="Open submit judge"/>
    <hyperlink ref="E35" r:id="rId35" display="Submit" tooltip="Open submit judge"/>
    <hyperlink ref="E36" r:id="rId36" display="Submit" tooltip="Open submit judge"/>
    <hyperlink ref="E37" r:id="rId37" display="Submit" tooltip="Open submit judge"/>
    <hyperlink ref="E38" r:id="rId38" display="Submit" tooltip="Open submit judge"/>
    <hyperlink ref="E39" r:id="rId39" display="Submit" tooltip="Open submit judge"/>
    <hyperlink ref="E40" r:id="rId40" display="Submit" tooltip="Open submit judge"/>
    <hyperlink ref="E41" r:id="rId41" display="Submit" tooltip="Open submit judge"/>
    <hyperlink ref="E42" r:id="rId42" display="Submit" tooltip="Open submit judge"/>
    <hyperlink ref="E43" r:id="rId43" display="Submit" tooltip="Open submit judge"/>
    <hyperlink ref="E44" r:id="rId44" display="Submit" tooltip="Open submit judge"/>
    <hyperlink ref="E45" r:id="rId45" display="Submit" tooltip="Open submit judge"/>
    <hyperlink ref="E46" r:id="rId46" display="Submit" tooltip="Open submit judge"/>
    <hyperlink ref="E47" r:id="rId11" display="Submit" tooltip="Open submit judge"/>
    <hyperlink ref="E48" r:id="rId47" display="Submit" tooltip="Open submit judge"/>
    <hyperlink ref="E49" r:id="rId48" display="Submit" tooltip="Open submit judge"/>
    <hyperlink ref="E50" r:id="rId49" display="Submit" tooltip="Open submit judge"/>
    <hyperlink ref="E51" r:id="rId50" display="Submit" tooltip="Open submit judge"/>
    <hyperlink ref="E52" r:id="rId51" display="Submit" tooltip="Open submit judge"/>
    <hyperlink ref="E53" r:id="rId52" display="Submit" tooltip="Open submit judge"/>
    <hyperlink ref="E54" r:id="rId53" display="Submit" tooltip="Open submit judge"/>
    <hyperlink ref="E55" r:id="rId54" display="Submit" tooltip="Open submit judge"/>
    <hyperlink ref="E56" r:id="rId55" display="Submit" tooltip="Open submit judge"/>
    <hyperlink ref="E57" r:id="rId56" display="Submit" tooltip="Open submit judge"/>
    <hyperlink ref="E58" r:id="rId57" display="Submit" tooltip="Open submit judge"/>
    <hyperlink ref="E59" r:id="rId58" display="Submit" tooltip="Open submit judge"/>
    <hyperlink ref="E60" r:id="rId59" display="Submit" tooltip="Open submit judge"/>
    <hyperlink ref="E61" r:id="rId60" display="Submit" tooltip="Open submit judge"/>
    <hyperlink ref="E62" r:id="rId61" display="Submit" tooltip="Open submit judge"/>
    <hyperlink ref="E63" r:id="rId62" display="Submit" tooltip="Open submit judge"/>
    <hyperlink ref="E64" r:id="rId63" display="Submit" tooltip="Open submit judge"/>
    <hyperlink ref="E65" r:id="rId64" display="Submit" tooltip="Open submit judge"/>
    <hyperlink ref="E66" r:id="rId65" display="Submit" tooltip="Open submit judge"/>
    <hyperlink ref="E67" r:id="rId66" display="Submit" tooltip="Open submit judge"/>
    <hyperlink ref="E68" r:id="rId67" display="Submit" tooltip="Open submit judge"/>
    <hyperlink ref="E69" r:id="rId68" display="Submit" tooltip="Open submit judge"/>
    <hyperlink ref="E70" r:id="rId69" display="Submit" tooltip="Open submit judge"/>
    <hyperlink ref="E71" r:id="rId70" display="Submit" tooltip="Open submit judge"/>
    <hyperlink ref="E72" r:id="rId71" display="Submit" tooltip="Open submit judge"/>
    <hyperlink ref="E73" r:id="rId72" display="Submit" tooltip="Open submit judge"/>
    <hyperlink ref="E74" r:id="rId73" display="Submit" tooltip="Open submit judge"/>
    <hyperlink ref="E75" r:id="rId74" display="Submit" tooltip="Open submit judge"/>
    <hyperlink ref="E76" r:id="rId75" display="Submit" tooltip="Open submit judge"/>
    <hyperlink ref="E77" r:id="rId76" display="Submit" tooltip="Open submit judge"/>
    <hyperlink ref="E78" r:id="rId77" display="Submit" tooltip="Open submit judge"/>
    <hyperlink ref="E79" r:id="rId57" display="Submit" tooltip="Open submit judge"/>
    <hyperlink ref="E80" r:id="rId78" display="Submit" tooltip="Open submit judge"/>
    <hyperlink ref="E81" r:id="rId79" display="Submit" tooltip="Open submit judge"/>
    <hyperlink ref="E82" r:id="rId80" display="Submit" tooltip="Open submit judge"/>
    <hyperlink ref="E83" r:id="rId81" display="Submit" tooltip="Open submit judge"/>
    <hyperlink ref="E84" r:id="rId82" display="Submit" tooltip="Open submit judge"/>
    <hyperlink ref="E85" r:id="rId83" display="Submit" tooltip="Open submit judge"/>
    <hyperlink ref="E86" r:id="rId84" display="Submit" tooltip="Open submit judge"/>
    <hyperlink ref="E87" r:id="rId85" display="Submit" tooltip="Open submit judge"/>
    <hyperlink ref="E88" r:id="rId86" display="Submit" tooltip="Open submit judge"/>
    <hyperlink ref="E89" r:id="rId87" display="Submit" tooltip="Open submit judge"/>
    <hyperlink ref="E90" r:id="rId88" display="Submit" tooltip="Open submit judge"/>
    <hyperlink ref="E91" r:id="rId89" display="Submit" tooltip="Open submit judge"/>
    <hyperlink ref="E92" r:id="rId90" display="Submit" tooltip="Open submit judge"/>
    <hyperlink ref="E93" r:id="rId91" display="Submit" tooltip="Open submit judge"/>
    <hyperlink ref="E94" r:id="rId92" display="Submit" tooltip="Open submit judge"/>
    <hyperlink ref="E95" r:id="rId93" display="Submit" tooltip="Open submit judge"/>
    <hyperlink ref="E96" r:id="rId94" display="Submit" tooltip="Open submit judge"/>
    <hyperlink ref="E97" r:id="rId95" display="Submit" tooltip="Open submit judge"/>
    <hyperlink ref="E98" r:id="rId96" display="Submit" tooltip="Open submit judge"/>
    <hyperlink ref="E99" r:id="rId97" display="Submit" tooltip="Open submit judge"/>
    <hyperlink ref="E100" r:id="rId98" display="Submit" tooltip="Open submit judge"/>
    <hyperlink ref="E101" r:id="rId99" display="Submit" tooltip="Open submit judge"/>
    <hyperlink ref="E102" r:id="rId100" display="Submit" tooltip="Open submit judge"/>
    <hyperlink ref="E103" r:id="rId101" display="Submit" tooltip="Open submit judge"/>
    <hyperlink ref="E104" r:id="rId102" display="Submit" tooltip="Open submit judge"/>
    <hyperlink ref="E105" r:id="rId103" display="Submit" tooltip="Open submit judge"/>
    <hyperlink ref="E106" r:id="rId104" display="Submit" tooltip="Open submit judge"/>
    <hyperlink ref="E107" r:id="rId105" display="Submit" tooltip="Open submit judge"/>
    <hyperlink ref="E108" r:id="rId106" display="Submit" tooltip="Open submit judge"/>
    <hyperlink ref="E109" r:id="rId107" display="Submit" tooltip="Open submit judge"/>
    <hyperlink ref="E110" r:id="rId108" display="Submit" tooltip="Open submit judge"/>
    <hyperlink ref="E111" r:id="rId109" display="Submit" tooltip="Open submit judge"/>
    <hyperlink ref="E112" r:id="rId110" display="Submit" tooltip="Open submit judge"/>
    <hyperlink ref="E113" r:id="rId111" display="Submit" tooltip="Open submit judge"/>
    <hyperlink ref="E114" r:id="rId112" display="Submit" tooltip="Open submit judge"/>
    <hyperlink ref="E115" r:id="rId113" display="Submit" tooltip="Open submit judge"/>
    <hyperlink ref="E116" r:id="rId114" display="Submit" tooltip="Open submit judge"/>
    <hyperlink ref="E117" r:id="rId115" display="Submit" tooltip="Open submit judge"/>
    <hyperlink ref="E118" r:id="rId116" display="Submit" tooltip="Open submit judge"/>
    <hyperlink ref="E119" r:id="rId117" display="Submit" tooltip="Open submit judge"/>
    <hyperlink ref="E120" r:id="rId118" display="Submit" tooltip="Open submit judge"/>
    <hyperlink ref="E121" r:id="rId119" display="Submit" tooltip="Open submit judge"/>
    <hyperlink ref="E122" r:id="rId120" display="Submit" tooltip="Open submit judge"/>
    <hyperlink ref="E123" r:id="rId121" display="Submit" tooltip="Open submit judge"/>
    <hyperlink ref="E124" r:id="rId122" display="Submit" tooltip="Open submit judge"/>
    <hyperlink ref="E125" r:id="rId123" display="Submit" tooltip="Open submit judge"/>
    <hyperlink ref="E126" r:id="rId124" display="Submit" tooltip="Open submit judge"/>
    <hyperlink ref="E127" r:id="rId125" display="Submit" tooltip="Open submit judge"/>
    <hyperlink ref="E128" r:id="rId126" display="Submit" tooltip="Open submit judge"/>
    <hyperlink ref="E129" r:id="rId127" display="Submit" tooltip="Open submit judge"/>
    <hyperlink ref="E130" r:id="rId128" display="Submit" tooltip="Open submit judge"/>
    <hyperlink ref="E131" r:id="rId129" display="Submit" tooltip="Open submit judge"/>
    <hyperlink ref="E132" r:id="rId130" display="Submit" tooltip="Open submit judge"/>
    <hyperlink ref="E133" r:id="rId131" display="Submit" tooltip="Open submit judge"/>
    <hyperlink ref="E134" r:id="rId132" display="Submit" tooltip="Open submit judge"/>
    <hyperlink ref="E135" r:id="rId133" display="Submit" tooltip="Open submit judge"/>
    <hyperlink ref="E136" r:id="rId134" display="Submit" tooltip="Open submit judge"/>
    <hyperlink ref="E137" r:id="rId135" display="Submit" tooltip="Open submit judge"/>
    <hyperlink ref="E138" r:id="rId136" display="Submit" tooltip="Open submit judge"/>
    <hyperlink ref="E139" r:id="rId137" display="Submit" tooltip="Open submit judge"/>
    <hyperlink ref="E140" r:id="rId138" display="Submit" tooltip="Open submit judge"/>
    <hyperlink ref="E141" r:id="rId139" display="Submit" tooltip="Open submit judge"/>
    <hyperlink ref="E142" r:id="rId140" display="Submit" tooltip="Open submit judge"/>
    <hyperlink ref="E143" r:id="rId141" display="Submit" tooltip="Open submit judge"/>
    <hyperlink ref="E144" r:id="rId142" display="Submit" tooltip="Open submit judge"/>
    <hyperlink ref="E145" r:id="rId100" display="Submit" tooltip="Open submit judge"/>
    <hyperlink ref="E146" r:id="rId143" display="Submit" tooltip="Open submit judge"/>
    <hyperlink ref="E147" r:id="rId144" display="Submit" tooltip="Open submit judge"/>
    <hyperlink ref="E148" r:id="rId145" display="Submit" tooltip="Open submit judge"/>
    <hyperlink ref="E149" r:id="rId146" display="Submit" tooltip="Open submit judge"/>
    <hyperlink ref="E150" r:id="rId147" display="Submit" tooltip="Open submit judge"/>
    <hyperlink ref="E151" r:id="rId148" display="Submit" tooltip="Open submit judge"/>
    <hyperlink ref="E152" r:id="rId149" display="Submit" tooltip="Open submit judge"/>
    <hyperlink ref="E153" r:id="rId150" display="Submit" tooltip="Open submit judge"/>
    <hyperlink ref="E154" r:id="rId151" display="Submit" tooltip="Open submit judge"/>
    <hyperlink ref="E155" r:id="rId152" display="Submit" tooltip="Open submit judge"/>
    <hyperlink ref="E156" r:id="rId153" display="Submit" tooltip="Open submit judge"/>
    <hyperlink ref="E157" r:id="rId154" display="Submit" tooltip="Open submit judge"/>
    <hyperlink ref="E158" r:id="rId155" display="Submit" tooltip="Open submit judge"/>
    <hyperlink ref="E159" r:id="rId156" display="Submit" tooltip="Open submit judge"/>
    <hyperlink ref="E160" r:id="rId157" display="Submit" tooltip="Open submit judge"/>
    <hyperlink ref="E161" r:id="rId158" display="Submit" tooltip="Open submit judge"/>
    <hyperlink ref="E162" r:id="rId159" display="Submit" tooltip="Open submit judge"/>
    <hyperlink ref="E163" r:id="rId99" display="Submit" tooltip="Open submit judge"/>
    <hyperlink ref="E164" r:id="rId125" display="Submit" tooltip="Open submit judge"/>
    <hyperlink ref="E165" r:id="rId160" display="Submit" tooltip="Open submit judge"/>
    <hyperlink ref="E166" r:id="rId161" display="Submit" tooltip="Open submit judge"/>
    <hyperlink ref="E167" r:id="rId162" display="Submit" tooltip="Open submit judge"/>
    <hyperlink ref="E168" r:id="rId163" display="Submit" tooltip="Open submit judge"/>
    <hyperlink ref="E169" r:id="rId164" display="Submit" tooltip="Open submit judge"/>
    <hyperlink ref="E170" r:id="rId165" display="Submit" tooltip="Open submit judge"/>
    <hyperlink ref="E171" r:id="rId166" display="Submit" tooltip="Open submit judge"/>
    <hyperlink ref="E172" r:id="rId167" display="Submit" tooltip="Open submit judge"/>
    <hyperlink ref="E173" r:id="rId168" display="Submit" tooltip="Open submit judge"/>
    <hyperlink ref="E174" r:id="rId169" display="Submit" tooltip="Open submit judge"/>
    <hyperlink ref="E175" r:id="rId170" display="Submit" tooltip="Open submit judge"/>
    <hyperlink ref="E176" r:id="rId171" display="Submit" tooltip="Open submit judge"/>
    <hyperlink ref="E177" r:id="rId17" display="Submit" tooltip="Open submit judge"/>
    <hyperlink ref="E178" r:id="rId172" display="Submit" tooltip="Open submit judge"/>
    <hyperlink ref="E179" r:id="rId173" display="Submit" tooltip="Open submit judge"/>
    <hyperlink ref="E180" r:id="rId13" display="Submit" tooltip="Open submit judge"/>
    <hyperlink ref="E181" r:id="rId174" display="Submit" tooltip="Open submit judge"/>
    <hyperlink ref="E182" r:id="rId175" display="Submit" tooltip="Open submit judge"/>
    <hyperlink ref="E183" r:id="rId176" display="Submit" tooltip="Open submit judge"/>
    <hyperlink ref="E184" r:id="rId124" display="Submit" tooltip="Open submit judge"/>
    <hyperlink ref="E185" r:id="rId177" display="Submit" tooltip="Open submit judge"/>
  </hyperlink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pane xSplit="1" ySplit="1" topLeftCell="B2" activePane="bottomRight" state="frozenSplit"/>
      <selection/>
      <selection pane="topRight"/>
      <selection pane="bottomLeft"/>
      <selection pane="bottomRight" activeCell="A1" sqref="A1"/>
    </sheetView>
  </sheetViews>
  <sheetFormatPr defaultColWidth="8.88888888888889" defaultRowHeight="13.2"/>
  <cols>
    <col min="1" max="1" width="34.7777777777778" style="1" customWidth="1"/>
    <col min="2" max="3" width="13.7777777777778" style="1" customWidth="1"/>
    <col min="4" max="5" width="45.7777777777778" style="1" customWidth="1"/>
    <col min="6" max="6" width="52.7777777777778" style="1" customWidth="1"/>
    <col min="7" max="9" width="14.7777777777778" style="1" customWidth="1"/>
    <col min="10" max="10" width="38.7777777777778" style="1" customWidth="1"/>
    <col min="11" max="16384" width="8.88888888888889" style="1"/>
  </cols>
  <sheetData>
    <row r="1" spans="1:10">
      <c r="A1" s="3" t="s">
        <v>200</v>
      </c>
      <c r="B1" s="3" t="s">
        <v>610</v>
      </c>
      <c r="C1" s="3" t="s">
        <v>611</v>
      </c>
      <c r="D1" s="3" t="s">
        <v>612</v>
      </c>
      <c r="E1" s="3" t="s">
        <v>613</v>
      </c>
      <c r="F1" s="3" t="s">
        <v>614</v>
      </c>
      <c r="G1" s="3" t="s">
        <v>615</v>
      </c>
      <c r="H1" s="3" t="s">
        <v>616</v>
      </c>
      <c r="I1" s="3" t="s">
        <v>617</v>
      </c>
      <c r="J1" s="3" t="s">
        <v>46</v>
      </c>
    </row>
    <row r="2" ht="26.4" spans="1:10">
      <c r="A2" s="7" t="s">
        <v>214</v>
      </c>
      <c r="B2" s="7" t="s">
        <v>618</v>
      </c>
      <c r="C2" s="11">
        <v>46273</v>
      </c>
      <c r="D2" s="7" t="s">
        <v>619</v>
      </c>
      <c r="E2" s="7" t="s">
        <v>620</v>
      </c>
      <c r="F2" s="7" t="s">
        <v>621</v>
      </c>
      <c r="G2" s="7" t="s">
        <v>52</v>
      </c>
      <c r="H2" s="7" t="str">
        <f>COUNTIFS('Task Bank'!$B:$B,A2,'Task Bank'!$F:$F,"AC")&amp;" / "&amp;COUNTIFS('Task Bank'!$B:$B,A2,'Task Bank'!$F:$F,"&lt;&gt;Reference")</f>
        <v>0 / 16</v>
      </c>
      <c r="I2" s="12">
        <f>IFERROR(COUNTIFS('Task Bank'!$B:$B,A2,'Task Bank'!$F:$F,"AC")/COUNTIFS('Task Bank'!$B:$B,A2,'Task Bank'!$F:$F,"&lt;&gt;Reference"),0)</f>
        <v>0</v>
      </c>
      <c r="J2" s="7"/>
    </row>
    <row r="3" ht="26.4" spans="1:10">
      <c r="A3" s="7" t="s">
        <v>258</v>
      </c>
      <c r="B3" s="7" t="s">
        <v>622</v>
      </c>
      <c r="C3" s="7" t="s">
        <v>623</v>
      </c>
      <c r="D3" s="7" t="s">
        <v>624</v>
      </c>
      <c r="E3" s="7" t="s">
        <v>625</v>
      </c>
      <c r="F3" s="7" t="s">
        <v>626</v>
      </c>
      <c r="G3" s="7" t="s">
        <v>52</v>
      </c>
      <c r="H3" s="7" t="str">
        <f>COUNTIFS('Task Bank'!$B:$B,A3,'Task Bank'!$F:$F,"AC")&amp;" / "&amp;COUNTIFS('Task Bank'!$B:$B,A3,'Task Bank'!$F:$F,"&lt;&gt;Reference")</f>
        <v>0 / 24</v>
      </c>
      <c r="I3" s="12">
        <f>IFERROR(COUNTIFS('Task Bank'!$B:$B,A3,'Task Bank'!$F:$F,"AC")/COUNTIFS('Task Bank'!$B:$B,A3,'Task Bank'!$F:$F,"&lt;&gt;Reference"),0)</f>
        <v>0</v>
      </c>
      <c r="J3" s="7"/>
    </row>
    <row r="4" ht="26.4" spans="1:10">
      <c r="A4" s="7" t="s">
        <v>311</v>
      </c>
      <c r="B4" s="7" t="s">
        <v>627</v>
      </c>
      <c r="C4" s="7" t="s">
        <v>623</v>
      </c>
      <c r="D4" s="7" t="s">
        <v>628</v>
      </c>
      <c r="E4" s="7" t="s">
        <v>629</v>
      </c>
      <c r="F4" s="7" t="s">
        <v>630</v>
      </c>
      <c r="G4" s="7" t="s">
        <v>52</v>
      </c>
      <c r="H4" s="7" t="str">
        <f>COUNTIFS('Task Bank'!$B:$B,A4,'Task Bank'!$F:$F,"AC")&amp;" / "&amp;COUNTIFS('Task Bank'!$B:$B,A4,'Task Bank'!$F:$F,"&lt;&gt;Reference")</f>
        <v>0 / 20</v>
      </c>
      <c r="I4" s="12">
        <f>IFERROR(COUNTIFS('Task Bank'!$B:$B,A4,'Task Bank'!$F:$F,"AC")/COUNTIFS('Task Bank'!$B:$B,A4,'Task Bank'!$F:$F,"&lt;&gt;Reference"),0)</f>
        <v>0</v>
      </c>
      <c r="J4" s="7"/>
    </row>
    <row r="5" spans="1:10">
      <c r="A5" s="7" t="s">
        <v>358</v>
      </c>
      <c r="B5" s="7" t="s">
        <v>622</v>
      </c>
      <c r="C5" s="7" t="s">
        <v>623</v>
      </c>
      <c r="D5" s="7" t="s">
        <v>631</v>
      </c>
      <c r="E5" s="7" t="s">
        <v>632</v>
      </c>
      <c r="F5" s="7" t="s">
        <v>633</v>
      </c>
      <c r="G5" s="7" t="s">
        <v>52</v>
      </c>
      <c r="H5" s="7" t="str">
        <f>COUNTIFS('Task Bank'!$B:$B,A5,'Task Bank'!$F:$F,"AC")&amp;" / "&amp;COUNTIFS('Task Bank'!$B:$B,A5,'Task Bank'!$F:$F,"&lt;&gt;Reference")</f>
        <v>0 / 20</v>
      </c>
      <c r="I5" s="12">
        <f>IFERROR(COUNTIFS('Task Bank'!$B:$B,A5,'Task Bank'!$F:$F,"AC")/COUNTIFS('Task Bank'!$B:$B,A5,'Task Bank'!$F:$F,"&lt;&gt;Reference"),0)</f>
        <v>0</v>
      </c>
      <c r="J5" s="7"/>
    </row>
    <row r="6" spans="1:10">
      <c r="A6" s="7" t="s">
        <v>399</v>
      </c>
      <c r="B6" s="7" t="s">
        <v>622</v>
      </c>
      <c r="C6" s="7" t="s">
        <v>623</v>
      </c>
      <c r="D6" s="7" t="s">
        <v>634</v>
      </c>
      <c r="E6" s="7" t="s">
        <v>635</v>
      </c>
      <c r="F6" s="7" t="s">
        <v>636</v>
      </c>
      <c r="G6" s="7" t="s">
        <v>52</v>
      </c>
      <c r="H6" s="7" t="str">
        <f>COUNTIFS('Task Bank'!$B:$B,A6,'Task Bank'!$F:$F,"AC")&amp;" / "&amp;COUNTIFS('Task Bank'!$B:$B,A6,'Task Bank'!$F:$F,"&lt;&gt;Reference")</f>
        <v>0 / 21</v>
      </c>
      <c r="I6" s="12">
        <f>IFERROR(COUNTIFS('Task Bank'!$B:$B,A6,'Task Bank'!$F:$F,"AC")/COUNTIFS('Task Bank'!$B:$B,A6,'Task Bank'!$F:$F,"&lt;&gt;Reference"),0)</f>
        <v>0</v>
      </c>
      <c r="J6" s="7"/>
    </row>
    <row r="7" ht="26.4" spans="1:10">
      <c r="A7" s="7" t="s">
        <v>444</v>
      </c>
      <c r="B7" s="7" t="s">
        <v>627</v>
      </c>
      <c r="C7" s="11">
        <v>46214</v>
      </c>
      <c r="D7" s="7" t="s">
        <v>637</v>
      </c>
      <c r="E7" s="7" t="s">
        <v>638</v>
      </c>
      <c r="F7" s="7" t="s">
        <v>639</v>
      </c>
      <c r="G7" s="7" t="s">
        <v>52</v>
      </c>
      <c r="H7" s="7" t="str">
        <f>COUNTIFS('Task Bank'!$B:$B,A7,'Task Bank'!$F:$F,"AC")&amp;" / "&amp;COUNTIFS('Task Bank'!$B:$B,A7,'Task Bank'!$F:$F,"&lt;&gt;Reference")</f>
        <v>0 / 21</v>
      </c>
      <c r="I7" s="12">
        <f>IFERROR(COUNTIFS('Task Bank'!$B:$B,A7,'Task Bank'!$F:$F,"AC")/COUNTIFS('Task Bank'!$B:$B,A7,'Task Bank'!$F:$F,"&lt;&gt;Reference"),0)</f>
        <v>0</v>
      </c>
      <c r="J7" s="7"/>
    </row>
    <row r="8" spans="1:10">
      <c r="A8" s="7" t="s">
        <v>493</v>
      </c>
      <c r="B8" s="7" t="s">
        <v>622</v>
      </c>
      <c r="C8" s="7" t="s">
        <v>623</v>
      </c>
      <c r="D8" s="7" t="s">
        <v>640</v>
      </c>
      <c r="E8" s="7" t="s">
        <v>641</v>
      </c>
      <c r="F8" s="7" t="s">
        <v>642</v>
      </c>
      <c r="G8" s="7" t="s">
        <v>52</v>
      </c>
      <c r="H8" s="7" t="str">
        <f>COUNTIFS('Task Bank'!$B:$B,A8,'Task Bank'!$F:$F,"AC")&amp;" / "&amp;COUNTIFS('Task Bank'!$B:$B,A8,'Task Bank'!$F:$F,"&lt;&gt;Reference")</f>
        <v>0 / 19</v>
      </c>
      <c r="I8" s="12">
        <f>IFERROR(COUNTIFS('Task Bank'!$B:$B,A8,'Task Bank'!$F:$F,"AC")/COUNTIFS('Task Bank'!$B:$B,A8,'Task Bank'!$F:$F,"&lt;&gt;Reference"),0)</f>
        <v>0</v>
      </c>
      <c r="J8" s="7"/>
    </row>
    <row r="9" spans="1:10">
      <c r="A9" s="7" t="s">
        <v>535</v>
      </c>
      <c r="B9" s="7" t="s">
        <v>643</v>
      </c>
      <c r="C9" s="11">
        <v>46214</v>
      </c>
      <c r="D9" s="7" t="s">
        <v>644</v>
      </c>
      <c r="E9" s="7" t="s">
        <v>645</v>
      </c>
      <c r="F9" s="7" t="s">
        <v>646</v>
      </c>
      <c r="G9" s="7" t="s">
        <v>52</v>
      </c>
      <c r="H9" s="7" t="str">
        <f>COUNTIFS('Task Bank'!$B:$B,A9,'Task Bank'!$F:$F,"AC")&amp;" / "&amp;COUNTIFS('Task Bank'!$B:$B,A9,'Task Bank'!$F:$F,"&lt;&gt;Reference")</f>
        <v>0 / 18</v>
      </c>
      <c r="I9" s="12">
        <f>IFERROR(COUNTIFS('Task Bank'!$B:$B,A9,'Task Bank'!$F:$F,"AC")/COUNTIFS('Task Bank'!$B:$B,A9,'Task Bank'!$F:$F,"&lt;&gt;Reference"),0)</f>
        <v>0</v>
      </c>
      <c r="J9" s="7"/>
    </row>
    <row r="10" spans="1:10">
      <c r="A10" s="7" t="s">
        <v>573</v>
      </c>
      <c r="B10" s="7" t="s">
        <v>643</v>
      </c>
      <c r="C10" s="11">
        <v>46214</v>
      </c>
      <c r="D10" s="7" t="s">
        <v>647</v>
      </c>
      <c r="E10" s="7" t="s">
        <v>648</v>
      </c>
      <c r="F10" s="7" t="s">
        <v>649</v>
      </c>
      <c r="G10" s="7" t="s">
        <v>52</v>
      </c>
      <c r="H10" s="7" t="str">
        <f>COUNTIFS('Task Bank'!$B:$B,A10,'Task Bank'!$F:$F,"AC")&amp;" / "&amp;COUNTIFS('Task Bank'!$B:$B,A10,'Task Bank'!$F:$F,"&lt;&gt;Reference")</f>
        <v>0 / 17</v>
      </c>
      <c r="I10" s="12">
        <f>IFERROR(COUNTIFS('Task Bank'!$B:$B,A10,'Task Bank'!$F:$F,"AC")/COUNTIFS('Task Bank'!$B:$B,A10,'Task Bank'!$F:$F,"&lt;&gt;Reference"),0)</f>
        <v>0</v>
      </c>
      <c r="J10" s="7"/>
    </row>
  </sheetData>
  <conditionalFormatting sqref="I2:I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{57dfb596-ecaa-4ef3-ab2a-bdf0bb0fe5e2}</x14:id>
        </ext>
      </extLst>
    </cfRule>
  </conditionalFormatting>
  <dataValidations count="1">
    <dataValidation type="list" allowBlank="1" showInputMessage="1" showErrorMessage="1" sqref="G2:G10">
      <formula1>WeekStatusList</formula1>
    </dataValidation>
  </dataValidations>
  <pageMargins left="0.75" right="0.75" top="1" bottom="1" header="0.5" footer="0.5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dfb596-ecaa-4ef3-ab2a-bdf0bb0fe5e2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I2:I10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"/>
  <sheetViews>
    <sheetView workbookViewId="0">
      <pane xSplit="1" ySplit="1" topLeftCell="B2" activePane="bottomRight" state="frozenSplit"/>
      <selection/>
      <selection pane="topRight"/>
      <selection pane="bottomLeft"/>
      <selection pane="bottomRight" activeCell="A1" sqref="A1"/>
    </sheetView>
  </sheetViews>
  <sheetFormatPr defaultColWidth="8.88888888888889" defaultRowHeight="13.2"/>
  <cols>
    <col min="1" max="1" width="8.77777777777778" style="1" customWidth="1"/>
    <col min="2" max="2" width="13.7777777777778" style="1" customWidth="1"/>
    <col min="3" max="3" width="35.7777777777778" style="1" customWidth="1"/>
    <col min="4" max="10" width="13.7777777777778" style="1" customWidth="1"/>
    <col min="11" max="12" width="18.7777777777778" style="1" customWidth="1"/>
    <col min="13" max="14" width="13.7777777777778" style="1" customWidth="1"/>
    <col min="15" max="15" width="45.7777777777778" style="1" customWidth="1"/>
    <col min="16" max="16384" width="8.88888888888889" style="1"/>
  </cols>
  <sheetData>
    <row r="1" spans="1:15">
      <c r="A1" s="8" t="s">
        <v>34</v>
      </c>
      <c r="B1" s="8" t="s">
        <v>650</v>
      </c>
      <c r="C1" s="8" t="s">
        <v>651</v>
      </c>
      <c r="D1" s="8" t="s">
        <v>652</v>
      </c>
      <c r="E1" s="8" t="s">
        <v>653</v>
      </c>
      <c r="F1" s="8" t="s">
        <v>43</v>
      </c>
      <c r="G1" s="8" t="s">
        <v>654</v>
      </c>
      <c r="H1" s="8" t="s">
        <v>655</v>
      </c>
      <c r="I1" s="8" t="s">
        <v>656</v>
      </c>
      <c r="J1" s="8" t="s">
        <v>209</v>
      </c>
      <c r="K1" s="8" t="s">
        <v>657</v>
      </c>
      <c r="L1" s="8" t="s">
        <v>658</v>
      </c>
      <c r="M1" s="8" t="s">
        <v>659</v>
      </c>
      <c r="N1" s="8" t="s">
        <v>18</v>
      </c>
      <c r="O1" s="8" t="s">
        <v>46</v>
      </c>
    </row>
    <row r="2" ht="14.4" spans="1:15">
      <c r="A2" s="1">
        <v>1</v>
      </c>
      <c r="B2" s="9">
        <v>46200</v>
      </c>
      <c r="C2" s="4" t="s">
        <v>660</v>
      </c>
      <c r="D2" s="4" t="s">
        <v>661</v>
      </c>
      <c r="E2" s="5" t="s">
        <v>653</v>
      </c>
      <c r="F2" s="4" t="s">
        <v>662</v>
      </c>
      <c r="G2" s="4"/>
      <c r="H2" s="4"/>
      <c r="I2" s="4"/>
      <c r="J2" s="4"/>
      <c r="K2" s="4"/>
      <c r="L2" s="4"/>
      <c r="M2" s="10">
        <f t="shared" ref="M2:M27" si="0">IF(B2="","",B2+3)</f>
        <v>46203</v>
      </c>
      <c r="N2" s="10">
        <f t="shared" ref="N2:N27" si="1">IF(B2="","",B2+7)</f>
        <v>46207</v>
      </c>
      <c r="O2" s="4"/>
    </row>
    <row r="3" ht="14.4" spans="1:15">
      <c r="A3" s="1">
        <v>2</v>
      </c>
      <c r="B3" s="9">
        <v>46207</v>
      </c>
      <c r="C3" s="4" t="s">
        <v>663</v>
      </c>
      <c r="D3" s="4" t="s">
        <v>661</v>
      </c>
      <c r="E3" s="5" t="s">
        <v>653</v>
      </c>
      <c r="F3" s="4" t="s">
        <v>662</v>
      </c>
      <c r="G3" s="4"/>
      <c r="H3" s="4"/>
      <c r="I3" s="4"/>
      <c r="J3" s="4"/>
      <c r="K3" s="4"/>
      <c r="L3" s="4"/>
      <c r="M3" s="10">
        <f t="shared" si="0"/>
        <v>46210</v>
      </c>
      <c r="N3" s="10">
        <f t="shared" si="1"/>
        <v>46214</v>
      </c>
      <c r="O3" s="4"/>
    </row>
    <row r="4" ht="14.4" spans="1:15">
      <c r="A4" s="1">
        <v>7</v>
      </c>
      <c r="B4" s="9">
        <v>46242</v>
      </c>
      <c r="C4" s="4" t="s">
        <v>664</v>
      </c>
      <c r="D4" s="4" t="s">
        <v>661</v>
      </c>
      <c r="E4" s="5" t="s">
        <v>653</v>
      </c>
      <c r="F4" s="4" t="s">
        <v>662</v>
      </c>
      <c r="G4" s="4"/>
      <c r="H4" s="4"/>
      <c r="I4" s="4"/>
      <c r="J4" s="4"/>
      <c r="K4" s="4"/>
      <c r="L4" s="4"/>
      <c r="M4" s="10">
        <f t="shared" si="0"/>
        <v>46245</v>
      </c>
      <c r="N4" s="10">
        <f t="shared" si="1"/>
        <v>46249</v>
      </c>
      <c r="O4" s="4"/>
    </row>
    <row r="5" ht="14.4" spans="1:15">
      <c r="A5" s="1">
        <v>8</v>
      </c>
      <c r="B5" s="9">
        <v>46249</v>
      </c>
      <c r="C5" s="4" t="s">
        <v>665</v>
      </c>
      <c r="D5" s="4" t="s">
        <v>666</v>
      </c>
      <c r="E5" s="5" t="s">
        <v>653</v>
      </c>
      <c r="F5" s="4" t="s">
        <v>662</v>
      </c>
      <c r="G5" s="4"/>
      <c r="H5" s="4"/>
      <c r="I5" s="4"/>
      <c r="J5" s="4"/>
      <c r="K5" s="4"/>
      <c r="L5" s="4"/>
      <c r="M5" s="10">
        <f t="shared" si="0"/>
        <v>46252</v>
      </c>
      <c r="N5" s="10">
        <f t="shared" si="1"/>
        <v>46256</v>
      </c>
      <c r="O5" s="4"/>
    </row>
    <row r="6" ht="14.4" spans="1:15">
      <c r="A6" s="1">
        <v>12</v>
      </c>
      <c r="B6" s="9">
        <v>46277</v>
      </c>
      <c r="C6" s="4" t="s">
        <v>667</v>
      </c>
      <c r="D6" s="4" t="s">
        <v>666</v>
      </c>
      <c r="E6" s="5" t="s">
        <v>653</v>
      </c>
      <c r="F6" s="4" t="s">
        <v>662</v>
      </c>
      <c r="G6" s="4"/>
      <c r="H6" s="4"/>
      <c r="I6" s="4"/>
      <c r="J6" s="4"/>
      <c r="K6" s="4"/>
      <c r="L6" s="4"/>
      <c r="M6" s="10">
        <f t="shared" si="0"/>
        <v>46280</v>
      </c>
      <c r="N6" s="10">
        <f t="shared" si="1"/>
        <v>46284</v>
      </c>
      <c r="O6" s="4"/>
    </row>
    <row r="7" ht="14.4" spans="1:15">
      <c r="A7" s="1">
        <v>13</v>
      </c>
      <c r="B7" s="9">
        <v>46284</v>
      </c>
      <c r="C7" s="4" t="s">
        <v>668</v>
      </c>
      <c r="D7" s="4" t="s">
        <v>666</v>
      </c>
      <c r="E7" s="5" t="s">
        <v>653</v>
      </c>
      <c r="F7" s="4" t="s">
        <v>662</v>
      </c>
      <c r="G7" s="4"/>
      <c r="H7" s="4"/>
      <c r="I7" s="4"/>
      <c r="J7" s="4"/>
      <c r="K7" s="4"/>
      <c r="L7" s="4"/>
      <c r="M7" s="10">
        <f t="shared" si="0"/>
        <v>46287</v>
      </c>
      <c r="N7" s="10">
        <f t="shared" si="1"/>
        <v>46291</v>
      </c>
      <c r="O7" s="4"/>
    </row>
    <row r="8" ht="14.4" spans="1:15">
      <c r="A8" s="1">
        <v>14</v>
      </c>
      <c r="B8" s="9">
        <v>46291</v>
      </c>
      <c r="C8" s="4" t="s">
        <v>669</v>
      </c>
      <c r="D8" s="4" t="s">
        <v>661</v>
      </c>
      <c r="E8" s="5" t="s">
        <v>653</v>
      </c>
      <c r="F8" s="4" t="s">
        <v>662</v>
      </c>
      <c r="G8" s="4"/>
      <c r="H8" s="4"/>
      <c r="I8" s="4"/>
      <c r="J8" s="4"/>
      <c r="K8" s="4"/>
      <c r="L8" s="4"/>
      <c r="M8" s="10">
        <f t="shared" si="0"/>
        <v>46294</v>
      </c>
      <c r="N8" s="10">
        <f t="shared" si="1"/>
        <v>46298</v>
      </c>
      <c r="O8" s="4"/>
    </row>
    <row r="9" ht="14.4" spans="1:15">
      <c r="A9" s="1">
        <v>15</v>
      </c>
      <c r="B9" s="9">
        <v>46298</v>
      </c>
      <c r="C9" s="4" t="s">
        <v>670</v>
      </c>
      <c r="D9" s="4" t="s">
        <v>661</v>
      </c>
      <c r="E9" s="5" t="s">
        <v>653</v>
      </c>
      <c r="F9" s="4" t="s">
        <v>662</v>
      </c>
      <c r="G9" s="4"/>
      <c r="H9" s="4"/>
      <c r="I9" s="4"/>
      <c r="J9" s="4"/>
      <c r="K9" s="4"/>
      <c r="L9" s="4"/>
      <c r="M9" s="10">
        <f t="shared" si="0"/>
        <v>46301</v>
      </c>
      <c r="N9" s="10">
        <f t="shared" si="1"/>
        <v>46305</v>
      </c>
      <c r="O9" s="4"/>
    </row>
    <row r="10" ht="14.4" spans="1:15">
      <c r="A10" s="1">
        <v>16</v>
      </c>
      <c r="B10" s="9">
        <v>46305</v>
      </c>
      <c r="C10" s="4" t="s">
        <v>671</v>
      </c>
      <c r="D10" s="4" t="s">
        <v>661</v>
      </c>
      <c r="E10" s="5" t="s">
        <v>653</v>
      </c>
      <c r="F10" s="4" t="s">
        <v>662</v>
      </c>
      <c r="G10" s="4"/>
      <c r="H10" s="4"/>
      <c r="I10" s="4"/>
      <c r="J10" s="4"/>
      <c r="K10" s="4"/>
      <c r="L10" s="4"/>
      <c r="M10" s="10">
        <f t="shared" si="0"/>
        <v>46308</v>
      </c>
      <c r="N10" s="10">
        <f t="shared" si="1"/>
        <v>46312</v>
      </c>
      <c r="O10" s="4"/>
    </row>
    <row r="11" spans="1:15">
      <c r="A11" s="1">
        <v>17</v>
      </c>
      <c r="B11" s="9">
        <v>46312</v>
      </c>
      <c r="C11" s="4" t="s">
        <v>672</v>
      </c>
      <c r="D11" s="4" t="s">
        <v>673</v>
      </c>
      <c r="E11" s="4" t="s">
        <v>653</v>
      </c>
      <c r="F11" s="4" t="s">
        <v>662</v>
      </c>
      <c r="G11" s="4"/>
      <c r="H11" s="4"/>
      <c r="I11" s="4"/>
      <c r="J11" s="4"/>
      <c r="K11" s="4"/>
      <c r="L11" s="4"/>
      <c r="M11" s="10">
        <f t="shared" si="0"/>
        <v>46315</v>
      </c>
      <c r="N11" s="10">
        <f t="shared" si="1"/>
        <v>46319</v>
      </c>
      <c r="O11" s="4"/>
    </row>
    <row r="12" ht="14.4" spans="1:15">
      <c r="A12" s="1">
        <v>18</v>
      </c>
      <c r="B12" s="9">
        <v>46319</v>
      </c>
      <c r="C12" s="4" t="s">
        <v>674</v>
      </c>
      <c r="D12" s="4" t="s">
        <v>666</v>
      </c>
      <c r="E12" s="5" t="s">
        <v>653</v>
      </c>
      <c r="F12" s="4" t="s">
        <v>662</v>
      </c>
      <c r="G12" s="4"/>
      <c r="H12" s="4"/>
      <c r="I12" s="4"/>
      <c r="J12" s="4"/>
      <c r="K12" s="4"/>
      <c r="L12" s="4"/>
      <c r="M12" s="10">
        <f t="shared" si="0"/>
        <v>46322</v>
      </c>
      <c r="N12" s="10">
        <f t="shared" si="1"/>
        <v>46326</v>
      </c>
      <c r="O12" s="4"/>
    </row>
    <row r="13" ht="14.4" spans="1:15">
      <c r="A13" s="1">
        <v>19</v>
      </c>
      <c r="B13" s="9">
        <v>46326</v>
      </c>
      <c r="C13" s="4" t="s">
        <v>668</v>
      </c>
      <c r="D13" s="4" t="s">
        <v>666</v>
      </c>
      <c r="E13" s="5" t="s">
        <v>653</v>
      </c>
      <c r="F13" s="4" t="s">
        <v>662</v>
      </c>
      <c r="G13" s="4"/>
      <c r="H13" s="4"/>
      <c r="I13" s="4"/>
      <c r="J13" s="4"/>
      <c r="K13" s="4"/>
      <c r="L13" s="4"/>
      <c r="M13" s="10">
        <f t="shared" si="0"/>
        <v>46329</v>
      </c>
      <c r="N13" s="10">
        <f t="shared" si="1"/>
        <v>46333</v>
      </c>
      <c r="O13" s="4"/>
    </row>
    <row r="14" ht="14.4" spans="1:15">
      <c r="A14" s="1">
        <v>19</v>
      </c>
      <c r="B14" s="9">
        <v>46326</v>
      </c>
      <c r="C14" s="4" t="s">
        <v>675</v>
      </c>
      <c r="D14" s="4" t="s">
        <v>666</v>
      </c>
      <c r="E14" s="5" t="s">
        <v>653</v>
      </c>
      <c r="F14" s="4" t="s">
        <v>662</v>
      </c>
      <c r="G14" s="4"/>
      <c r="H14" s="4"/>
      <c r="I14" s="4"/>
      <c r="J14" s="4"/>
      <c r="K14" s="4"/>
      <c r="L14" s="4"/>
      <c r="M14" s="10">
        <f t="shared" si="0"/>
        <v>46329</v>
      </c>
      <c r="N14" s="10">
        <f t="shared" si="1"/>
        <v>46333</v>
      </c>
      <c r="O14" s="4"/>
    </row>
    <row r="15" ht="14.4" spans="1:15">
      <c r="A15" s="1">
        <v>20</v>
      </c>
      <c r="B15" s="9">
        <v>46333</v>
      </c>
      <c r="C15" s="4" t="s">
        <v>676</v>
      </c>
      <c r="D15" s="4" t="s">
        <v>666</v>
      </c>
      <c r="E15" s="5" t="s">
        <v>653</v>
      </c>
      <c r="F15" s="4" t="s">
        <v>662</v>
      </c>
      <c r="G15" s="4"/>
      <c r="H15" s="4"/>
      <c r="I15" s="4"/>
      <c r="J15" s="4"/>
      <c r="K15" s="4"/>
      <c r="L15" s="4"/>
      <c r="M15" s="10">
        <f t="shared" si="0"/>
        <v>46336</v>
      </c>
      <c r="N15" s="10">
        <f t="shared" si="1"/>
        <v>46340</v>
      </c>
      <c r="O15" s="4"/>
    </row>
    <row r="16" spans="1:15">
      <c r="A16" s="1">
        <v>20</v>
      </c>
      <c r="B16" s="9">
        <v>46334</v>
      </c>
      <c r="C16" s="4" t="s">
        <v>677</v>
      </c>
      <c r="D16" s="4" t="s">
        <v>673</v>
      </c>
      <c r="E16" s="4" t="s">
        <v>653</v>
      </c>
      <c r="F16" s="4" t="s">
        <v>662</v>
      </c>
      <c r="G16" s="4"/>
      <c r="H16" s="4"/>
      <c r="I16" s="4"/>
      <c r="J16" s="4"/>
      <c r="K16" s="4"/>
      <c r="L16" s="4"/>
      <c r="M16" s="10">
        <f t="shared" si="0"/>
        <v>46337</v>
      </c>
      <c r="N16" s="10">
        <f t="shared" si="1"/>
        <v>46341</v>
      </c>
      <c r="O16" s="4"/>
    </row>
    <row r="17" ht="14.4" spans="1:15">
      <c r="A17" s="1">
        <v>22</v>
      </c>
      <c r="B17" s="9">
        <v>46347</v>
      </c>
      <c r="C17" s="4" t="s">
        <v>137</v>
      </c>
      <c r="D17" s="4" t="s">
        <v>678</v>
      </c>
      <c r="E17" s="5" t="s">
        <v>653</v>
      </c>
      <c r="F17" s="4" t="s">
        <v>662</v>
      </c>
      <c r="G17" s="4"/>
      <c r="H17" s="4"/>
      <c r="I17" s="4"/>
      <c r="J17" s="4"/>
      <c r="K17" s="4"/>
      <c r="L17" s="4"/>
      <c r="M17" s="10">
        <f t="shared" si="0"/>
        <v>46350</v>
      </c>
      <c r="N17" s="10">
        <f t="shared" si="1"/>
        <v>46354</v>
      </c>
      <c r="O17" s="4"/>
    </row>
    <row r="18" ht="14.4" spans="1:15">
      <c r="A18" s="1">
        <v>23</v>
      </c>
      <c r="B18" s="9">
        <v>46354</v>
      </c>
      <c r="C18" s="4" t="s">
        <v>679</v>
      </c>
      <c r="D18" s="4" t="s">
        <v>678</v>
      </c>
      <c r="E18" s="5" t="s">
        <v>653</v>
      </c>
      <c r="F18" s="4" t="s">
        <v>662</v>
      </c>
      <c r="G18" s="4"/>
      <c r="H18" s="4"/>
      <c r="I18" s="4"/>
      <c r="J18" s="4"/>
      <c r="K18" s="4"/>
      <c r="L18" s="4"/>
      <c r="M18" s="10">
        <f t="shared" si="0"/>
        <v>46357</v>
      </c>
      <c r="N18" s="10">
        <f t="shared" si="1"/>
        <v>46361</v>
      </c>
      <c r="O18" s="4"/>
    </row>
    <row r="19" ht="14.4" spans="1:15">
      <c r="A19" s="1">
        <v>23</v>
      </c>
      <c r="B19" s="9">
        <v>46354</v>
      </c>
      <c r="C19" s="4" t="s">
        <v>680</v>
      </c>
      <c r="D19" s="4" t="s">
        <v>678</v>
      </c>
      <c r="E19" s="5" t="s">
        <v>653</v>
      </c>
      <c r="F19" s="4" t="s">
        <v>662</v>
      </c>
      <c r="G19" s="4"/>
      <c r="H19" s="4"/>
      <c r="I19" s="4"/>
      <c r="J19" s="4"/>
      <c r="K19" s="4"/>
      <c r="L19" s="4"/>
      <c r="M19" s="10">
        <f t="shared" si="0"/>
        <v>46357</v>
      </c>
      <c r="N19" s="10">
        <f t="shared" si="1"/>
        <v>46361</v>
      </c>
      <c r="O19" s="4"/>
    </row>
    <row r="20" ht="14.4" spans="1:15">
      <c r="A20" s="1">
        <v>24</v>
      </c>
      <c r="B20" s="9">
        <v>46361</v>
      </c>
      <c r="C20" s="4" t="s">
        <v>681</v>
      </c>
      <c r="D20" s="4" t="s">
        <v>678</v>
      </c>
      <c r="E20" s="5" t="s">
        <v>653</v>
      </c>
      <c r="F20" s="4" t="s">
        <v>662</v>
      </c>
      <c r="G20" s="4"/>
      <c r="H20" s="4"/>
      <c r="I20" s="4"/>
      <c r="J20" s="4"/>
      <c r="K20" s="4"/>
      <c r="L20" s="4"/>
      <c r="M20" s="10">
        <f t="shared" si="0"/>
        <v>46364</v>
      </c>
      <c r="N20" s="10">
        <f t="shared" si="1"/>
        <v>46368</v>
      </c>
      <c r="O20" s="4"/>
    </row>
    <row r="21" ht="14.4" spans="1:15">
      <c r="A21" s="1">
        <v>24</v>
      </c>
      <c r="B21" s="9">
        <v>46361</v>
      </c>
      <c r="C21" s="4" t="s">
        <v>682</v>
      </c>
      <c r="D21" s="4" t="s">
        <v>678</v>
      </c>
      <c r="E21" s="5" t="s">
        <v>653</v>
      </c>
      <c r="F21" s="4" t="s">
        <v>662</v>
      </c>
      <c r="G21" s="4"/>
      <c r="H21" s="4"/>
      <c r="I21" s="4"/>
      <c r="J21" s="4"/>
      <c r="K21" s="4"/>
      <c r="L21" s="4"/>
      <c r="M21" s="10">
        <f t="shared" si="0"/>
        <v>46364</v>
      </c>
      <c r="N21" s="10">
        <f t="shared" si="1"/>
        <v>46368</v>
      </c>
      <c r="O21" s="4"/>
    </row>
    <row r="22" spans="1:15">
      <c r="A22" s="1">
        <v>25</v>
      </c>
      <c r="B22" s="9">
        <v>46366</v>
      </c>
      <c r="C22" s="4" t="s">
        <v>683</v>
      </c>
      <c r="D22" s="4" t="s">
        <v>673</v>
      </c>
      <c r="E22" s="4" t="s">
        <v>653</v>
      </c>
      <c r="F22" s="4" t="s">
        <v>662</v>
      </c>
      <c r="G22" s="4"/>
      <c r="H22" s="4"/>
      <c r="I22" s="4"/>
      <c r="J22" s="4"/>
      <c r="K22" s="4"/>
      <c r="L22" s="4"/>
      <c r="M22" s="10">
        <f t="shared" si="0"/>
        <v>46369</v>
      </c>
      <c r="N22" s="10">
        <f t="shared" si="1"/>
        <v>46373</v>
      </c>
      <c r="O22" s="4"/>
    </row>
    <row r="23" ht="14.4" spans="1:15">
      <c r="A23" s="1">
        <v>32</v>
      </c>
      <c r="B23" s="9">
        <v>46417</v>
      </c>
      <c r="C23" s="4" t="s">
        <v>178</v>
      </c>
      <c r="D23" s="4" t="s">
        <v>684</v>
      </c>
      <c r="E23" s="5" t="s">
        <v>653</v>
      </c>
      <c r="F23" s="4" t="s">
        <v>662</v>
      </c>
      <c r="G23" s="4"/>
      <c r="H23" s="4"/>
      <c r="I23" s="4"/>
      <c r="J23" s="4"/>
      <c r="K23" s="4"/>
      <c r="L23" s="4"/>
      <c r="M23" s="10">
        <f t="shared" si="0"/>
        <v>46420</v>
      </c>
      <c r="N23" s="10">
        <f t="shared" si="1"/>
        <v>46424</v>
      </c>
      <c r="O23" s="4"/>
    </row>
    <row r="24" ht="14.4" spans="1:15">
      <c r="A24" s="1">
        <v>33</v>
      </c>
      <c r="B24" s="9">
        <v>46424</v>
      </c>
      <c r="C24" s="4" t="s">
        <v>182</v>
      </c>
      <c r="D24" s="4" t="s">
        <v>684</v>
      </c>
      <c r="E24" s="5" t="s">
        <v>653</v>
      </c>
      <c r="F24" s="4" t="s">
        <v>662</v>
      </c>
      <c r="G24" s="4"/>
      <c r="H24" s="4"/>
      <c r="I24" s="4"/>
      <c r="J24" s="4"/>
      <c r="K24" s="4"/>
      <c r="L24" s="4"/>
      <c r="M24" s="10">
        <f t="shared" si="0"/>
        <v>46427</v>
      </c>
      <c r="N24" s="10">
        <f t="shared" si="1"/>
        <v>46431</v>
      </c>
      <c r="O24" s="4"/>
    </row>
    <row r="25" ht="14.4" spans="1:15">
      <c r="A25" s="1">
        <v>34</v>
      </c>
      <c r="B25" s="9">
        <v>46431</v>
      </c>
      <c r="C25" s="4" t="s">
        <v>186</v>
      </c>
      <c r="D25" s="4" t="s">
        <v>684</v>
      </c>
      <c r="E25" s="5" t="s">
        <v>653</v>
      </c>
      <c r="F25" s="4" t="s">
        <v>662</v>
      </c>
      <c r="G25" s="4"/>
      <c r="H25" s="4"/>
      <c r="I25" s="4"/>
      <c r="J25" s="4"/>
      <c r="K25" s="4"/>
      <c r="L25" s="4"/>
      <c r="M25" s="10">
        <f t="shared" si="0"/>
        <v>46434</v>
      </c>
      <c r="N25" s="10">
        <f t="shared" si="1"/>
        <v>46438</v>
      </c>
      <c r="O25" s="4"/>
    </row>
    <row r="26" spans="1:15">
      <c r="A26" s="1">
        <v>35</v>
      </c>
      <c r="B26" s="9">
        <v>46438</v>
      </c>
      <c r="C26" s="4" t="s">
        <v>685</v>
      </c>
      <c r="D26" s="4" t="s">
        <v>684</v>
      </c>
      <c r="E26" s="4" t="s">
        <v>653</v>
      </c>
      <c r="F26" s="4" t="s">
        <v>662</v>
      </c>
      <c r="G26" s="4"/>
      <c r="H26" s="4"/>
      <c r="I26" s="4"/>
      <c r="J26" s="4"/>
      <c r="K26" s="4"/>
      <c r="L26" s="4"/>
      <c r="M26" s="10">
        <f t="shared" si="0"/>
        <v>46441</v>
      </c>
      <c r="N26" s="10">
        <f t="shared" si="1"/>
        <v>46445</v>
      </c>
      <c r="O26" s="4"/>
    </row>
    <row r="27" spans="1:15">
      <c r="A27" s="1">
        <v>35</v>
      </c>
      <c r="B27" s="9">
        <v>46438</v>
      </c>
      <c r="C27" s="4" t="s">
        <v>686</v>
      </c>
      <c r="D27" s="4" t="s">
        <v>684</v>
      </c>
      <c r="E27" s="4" t="s">
        <v>653</v>
      </c>
      <c r="F27" s="4" t="s">
        <v>662</v>
      </c>
      <c r="G27" s="4"/>
      <c r="H27" s="4"/>
      <c r="I27" s="4"/>
      <c r="J27" s="4"/>
      <c r="K27" s="4"/>
      <c r="L27" s="4"/>
      <c r="M27" s="10">
        <f t="shared" si="0"/>
        <v>46441</v>
      </c>
      <c r="N27" s="10">
        <f t="shared" si="1"/>
        <v>46445</v>
      </c>
      <c r="O27" s="4"/>
    </row>
  </sheetData>
  <dataValidations count="2">
    <dataValidation type="list" allowBlank="1" showInputMessage="1" showErrorMessage="1" sqref="F2:F27">
      <formula1>VirtualStatusList</formula1>
    </dataValidation>
    <dataValidation type="list" allowBlank="1" showInputMessage="1" showErrorMessage="1" sqref="L2:L27">
      <formula1>FailureTagList</formula1>
    </dataValidation>
  </dataValidations>
  <hyperlinks>
    <hyperlink ref="E2" r:id="rId2" display="Open" tooltip="Open contest/problem set"/>
    <hyperlink ref="E3" r:id="rId3" display="Open" tooltip="Open contest/problem set"/>
    <hyperlink ref="E4" r:id="rId4" display="Open" tooltip="Open contest/problem set"/>
    <hyperlink ref="E5" r:id="rId5" display="Open" tooltip="Open contest/problem set"/>
    <hyperlink ref="E6" r:id="rId6" display="Open" tooltip="Open contest/problem set"/>
    <hyperlink ref="E7" r:id="rId7" display="Open" tooltip="Open contest/problem set"/>
    <hyperlink ref="E8" r:id="rId2" display="Open" tooltip="Open contest/problem set"/>
    <hyperlink ref="E9" r:id="rId3" display="Open" tooltip="Open contest/problem set"/>
    <hyperlink ref="E10" r:id="rId4" display="Open" tooltip="Open contest/problem set"/>
    <hyperlink ref="E12" r:id="rId6" display="Open" tooltip="Open contest/problem set"/>
    <hyperlink ref="E13" r:id="rId7" display="Open" tooltip="Open contest/problem set"/>
    <hyperlink ref="E14" r:id="rId8" display="Open" tooltip="Open contest/problem set"/>
    <hyperlink ref="E15" r:id="rId9" display="Open" tooltip="Open contest/problem set"/>
    <hyperlink ref="E17" r:id="rId10" display="Open" tooltip="Open contest/problem set"/>
    <hyperlink ref="E18" r:id="rId11" display="Open" tooltip="Open contest/problem set"/>
    <hyperlink ref="E19" r:id="rId12" display="Open" tooltip="Open contest/problem set"/>
    <hyperlink ref="E20" r:id="rId13" display="Open" tooltip="Open contest/problem set"/>
    <hyperlink ref="E21" r:id="rId14" display="Open" tooltip="Open contest/problem set"/>
    <hyperlink ref="E23" r:id="rId15" display="Open" tooltip="Open contest/problem set"/>
    <hyperlink ref="E24" r:id="rId16" display="Open" tooltip="Open contest/problem set"/>
    <hyperlink ref="E25" r:id="rId17" display="Open" tooltip="Open contest/problem set"/>
  </hyperlinks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:F1"/>
    </sheetView>
  </sheetViews>
  <sheetFormatPr defaultColWidth="8.88888888888889" defaultRowHeight="13.2" outlineLevelCol="5"/>
  <cols>
    <col min="1" max="2" width="20.7777777777778" style="1" customWidth="1"/>
    <col min="3" max="3" width="12.7777777777778" style="1" customWidth="1"/>
    <col min="4" max="5" width="48.7777777777778" style="1" customWidth="1"/>
    <col min="6" max="6" width="22.7777777777778" style="1" customWidth="1"/>
    <col min="7" max="16384" width="8.88888888888889" style="1"/>
  </cols>
  <sheetData>
    <row r="1" ht="34" customHeight="1" spans="1:6">
      <c r="A1" s="6" t="s">
        <v>687</v>
      </c>
      <c r="B1" s="6"/>
      <c r="C1" s="6"/>
      <c r="D1" s="6"/>
      <c r="E1" s="6"/>
      <c r="F1" s="6"/>
    </row>
    <row r="3" spans="1:6">
      <c r="A3" s="3" t="s">
        <v>688</v>
      </c>
      <c r="B3" s="3" t="s">
        <v>689</v>
      </c>
      <c r="C3" s="3" t="s">
        <v>690</v>
      </c>
      <c r="D3" s="3" t="s">
        <v>691</v>
      </c>
      <c r="E3" s="3" t="s">
        <v>692</v>
      </c>
      <c r="F3" s="3" t="s">
        <v>693</v>
      </c>
    </row>
    <row r="4" spans="1:6">
      <c r="A4" s="7" t="s">
        <v>694</v>
      </c>
      <c r="B4" s="7" t="s">
        <v>695</v>
      </c>
      <c r="C4" s="7" t="s">
        <v>696</v>
      </c>
      <c r="D4" s="7" t="s">
        <v>697</v>
      </c>
      <c r="E4" s="7" t="s">
        <v>698</v>
      </c>
      <c r="F4" s="7" t="s">
        <v>699</v>
      </c>
    </row>
    <row r="5" spans="1:6">
      <c r="A5" s="7" t="s">
        <v>694</v>
      </c>
      <c r="B5" s="7" t="s">
        <v>700</v>
      </c>
      <c r="C5" s="7" t="s">
        <v>701</v>
      </c>
      <c r="D5" s="7" t="s">
        <v>702</v>
      </c>
      <c r="E5" s="7" t="s">
        <v>703</v>
      </c>
      <c r="F5" s="7" t="s">
        <v>704</v>
      </c>
    </row>
    <row r="6" spans="1:6">
      <c r="A6" s="7" t="s">
        <v>694</v>
      </c>
      <c r="B6" s="7" t="s">
        <v>705</v>
      </c>
      <c r="C6" s="7" t="s">
        <v>706</v>
      </c>
      <c r="D6" s="7" t="s">
        <v>707</v>
      </c>
      <c r="E6" s="7" t="s">
        <v>708</v>
      </c>
      <c r="F6" s="7" t="s">
        <v>709</v>
      </c>
    </row>
    <row r="7" spans="1:6">
      <c r="A7" s="7" t="s">
        <v>694</v>
      </c>
      <c r="B7" s="7" t="s">
        <v>710</v>
      </c>
      <c r="C7" s="7" t="s">
        <v>706</v>
      </c>
      <c r="D7" s="7" t="s">
        <v>711</v>
      </c>
      <c r="E7" s="7" t="s">
        <v>712</v>
      </c>
      <c r="F7" s="7" t="s">
        <v>709</v>
      </c>
    </row>
    <row r="8" spans="1:6">
      <c r="A8" s="7" t="s">
        <v>694</v>
      </c>
      <c r="B8" s="7" t="s">
        <v>713</v>
      </c>
      <c r="C8" s="7" t="s">
        <v>714</v>
      </c>
      <c r="D8" s="7" t="s">
        <v>715</v>
      </c>
      <c r="E8" s="7" t="s">
        <v>716</v>
      </c>
      <c r="F8" s="7" t="s">
        <v>717</v>
      </c>
    </row>
    <row r="9" spans="1:6">
      <c r="A9" s="7" t="s">
        <v>718</v>
      </c>
      <c r="B9" s="7" t="s">
        <v>719</v>
      </c>
      <c r="C9" s="7" t="s">
        <v>720</v>
      </c>
      <c r="D9" s="7" t="s">
        <v>721</v>
      </c>
      <c r="E9" s="7" t="s">
        <v>722</v>
      </c>
      <c r="F9" s="7" t="s">
        <v>723</v>
      </c>
    </row>
    <row r="10" spans="1:6">
      <c r="A10" s="7" t="s">
        <v>718</v>
      </c>
      <c r="B10" s="7" t="s">
        <v>724</v>
      </c>
      <c r="C10" s="7" t="s">
        <v>725</v>
      </c>
      <c r="D10" s="7" t="s">
        <v>726</v>
      </c>
      <c r="E10" s="7" t="s">
        <v>727</v>
      </c>
      <c r="F10" s="7" t="s">
        <v>704</v>
      </c>
    </row>
    <row r="11" spans="1:6">
      <c r="A11" s="7" t="s">
        <v>718</v>
      </c>
      <c r="B11" s="7" t="s">
        <v>728</v>
      </c>
      <c r="C11" s="7" t="s">
        <v>729</v>
      </c>
      <c r="D11" s="7" t="s">
        <v>730</v>
      </c>
      <c r="E11" s="7" t="s">
        <v>731</v>
      </c>
      <c r="F11" s="7" t="s">
        <v>732</v>
      </c>
    </row>
    <row r="12" spans="1:6">
      <c r="A12" s="7" t="s">
        <v>733</v>
      </c>
      <c r="B12" s="7" t="s">
        <v>734</v>
      </c>
      <c r="C12" s="7" t="s">
        <v>725</v>
      </c>
      <c r="D12" s="7" t="s">
        <v>735</v>
      </c>
      <c r="E12" s="7" t="s">
        <v>736</v>
      </c>
      <c r="F12" s="7" t="s">
        <v>737</v>
      </c>
    </row>
    <row r="13" spans="1:6">
      <c r="A13" s="7" t="s">
        <v>733</v>
      </c>
      <c r="B13" s="7" t="s">
        <v>738</v>
      </c>
      <c r="C13" s="7" t="s">
        <v>706</v>
      </c>
      <c r="D13" s="7" t="s">
        <v>739</v>
      </c>
      <c r="E13" s="7" t="s">
        <v>740</v>
      </c>
      <c r="F13" s="7" t="s">
        <v>737</v>
      </c>
    </row>
    <row r="14" spans="1:6">
      <c r="A14" s="7" t="s">
        <v>733</v>
      </c>
      <c r="B14" s="7" t="s">
        <v>741</v>
      </c>
      <c r="C14" s="7" t="s">
        <v>742</v>
      </c>
      <c r="D14" s="7" t="s">
        <v>743</v>
      </c>
      <c r="E14" s="7" t="s">
        <v>744</v>
      </c>
      <c r="F14" s="7" t="s">
        <v>745</v>
      </c>
    </row>
    <row r="15" spans="1:6">
      <c r="A15" s="7"/>
      <c r="B15" s="7"/>
      <c r="C15" s="7"/>
      <c r="D15" s="7"/>
      <c r="E15" s="7"/>
      <c r="F15" s="7"/>
    </row>
    <row r="18" spans="1:2">
      <c r="A18" s="8" t="s">
        <v>746</v>
      </c>
      <c r="B18" s="8" t="s">
        <v>747</v>
      </c>
    </row>
    <row r="19" spans="1:2">
      <c r="A19" s="1" t="s">
        <v>748</v>
      </c>
      <c r="B19" s="1" t="s">
        <v>749</v>
      </c>
    </row>
    <row r="20" spans="1:2">
      <c r="A20" s="1" t="s">
        <v>750</v>
      </c>
      <c r="B20" s="1" t="s">
        <v>751</v>
      </c>
    </row>
    <row r="21" spans="1:2">
      <c r="A21" s="1" t="s">
        <v>752</v>
      </c>
      <c r="B21" s="1" t="s">
        <v>753</v>
      </c>
    </row>
    <row r="22" spans="1:2">
      <c r="A22" s="1" t="s">
        <v>754</v>
      </c>
      <c r="B22" s="1" t="s">
        <v>755</v>
      </c>
    </row>
    <row r="23" spans="1:2">
      <c r="A23" s="1" t="s">
        <v>756</v>
      </c>
      <c r="B23" s="1" t="s">
        <v>757</v>
      </c>
    </row>
  </sheetData>
  <mergeCells count="1">
    <mergeCell ref="A1:F1"/>
  </mergeCells>
  <pageMargins left="0.75" right="0.75" top="1" bottom="1" header="0.5" footer="0.5"/>
  <headerFooter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:D1"/>
    </sheetView>
  </sheetViews>
  <sheetFormatPr defaultColWidth="8.88888888888889" defaultRowHeight="13.2" outlineLevelCol="3"/>
  <cols>
    <col min="1" max="1" width="29.7777777777778" style="1" customWidth="1"/>
    <col min="2" max="2" width="15.7777777777778" style="1" customWidth="1"/>
    <col min="3" max="3" width="72.7777777777778" style="1" customWidth="1"/>
    <col min="4" max="4" width="42.7777777777778" style="1" customWidth="1"/>
    <col min="5" max="16384" width="8.88888888888889" style="1"/>
  </cols>
  <sheetData>
    <row r="1" spans="1:4">
      <c r="A1" s="2" t="s">
        <v>758</v>
      </c>
      <c r="B1" s="2"/>
      <c r="C1" s="2"/>
      <c r="D1" s="2"/>
    </row>
    <row r="3" spans="1:4">
      <c r="A3" s="3" t="s">
        <v>759</v>
      </c>
      <c r="B3" s="3" t="s">
        <v>760</v>
      </c>
      <c r="C3" s="3" t="s">
        <v>761</v>
      </c>
      <c r="D3" s="3" t="s">
        <v>762</v>
      </c>
    </row>
    <row r="4" spans="1:4">
      <c r="A4" s="4" t="s">
        <v>763</v>
      </c>
      <c r="B4" s="4" t="s">
        <v>764</v>
      </c>
      <c r="C4" s="4" t="s">
        <v>765</v>
      </c>
      <c r="D4" s="4" t="s">
        <v>766</v>
      </c>
    </row>
    <row r="5" spans="1:4">
      <c r="A5" s="4" t="s">
        <v>767</v>
      </c>
      <c r="B5" s="4" t="s">
        <v>764</v>
      </c>
      <c r="C5" s="4" t="s">
        <v>768</v>
      </c>
      <c r="D5" s="4" t="s">
        <v>769</v>
      </c>
    </row>
    <row r="6" spans="1:4">
      <c r="A6" s="4" t="s">
        <v>770</v>
      </c>
      <c r="B6" s="4" t="s">
        <v>764</v>
      </c>
      <c r="C6" s="4" t="s">
        <v>771</v>
      </c>
      <c r="D6" s="4" t="s">
        <v>772</v>
      </c>
    </row>
    <row r="7" ht="14.4" spans="1:4">
      <c r="A7" s="4" t="s">
        <v>773</v>
      </c>
      <c r="B7" s="4" t="s">
        <v>673</v>
      </c>
      <c r="C7" s="5" t="s">
        <v>774</v>
      </c>
      <c r="D7" s="4" t="s">
        <v>775</v>
      </c>
    </row>
    <row r="8" ht="14.4" spans="1:4">
      <c r="A8" s="4" t="s">
        <v>776</v>
      </c>
      <c r="B8" s="4" t="s">
        <v>777</v>
      </c>
      <c r="C8" s="5" t="s">
        <v>778</v>
      </c>
      <c r="D8" s="4" t="s">
        <v>779</v>
      </c>
    </row>
    <row r="9" ht="14.4" spans="1:4">
      <c r="A9" s="4" t="s">
        <v>178</v>
      </c>
      <c r="B9" s="4" t="s">
        <v>780</v>
      </c>
      <c r="C9" s="5" t="s">
        <v>781</v>
      </c>
      <c r="D9" s="4" t="s">
        <v>782</v>
      </c>
    </row>
    <row r="10" ht="14.4" spans="1:4">
      <c r="A10" s="4" t="s">
        <v>182</v>
      </c>
      <c r="B10" s="4" t="s">
        <v>780</v>
      </c>
      <c r="C10" s="5" t="s">
        <v>783</v>
      </c>
      <c r="D10" s="4" t="s">
        <v>782</v>
      </c>
    </row>
    <row r="11" ht="14.4" spans="1:4">
      <c r="A11" s="4" t="s">
        <v>186</v>
      </c>
      <c r="B11" s="4" t="s">
        <v>780</v>
      </c>
      <c r="C11" s="5" t="s">
        <v>784</v>
      </c>
      <c r="D11" s="4" t="s">
        <v>782</v>
      </c>
    </row>
  </sheetData>
  <mergeCells count="1">
    <mergeCell ref="A1:D1"/>
  </mergeCells>
  <hyperlinks>
    <hyperlink ref="C7" r:id="rId2" display="https://www.olp.vn/tin-t%E1%BB%A9c/olympic-icpc/th%C3%B4ng-b%C3%A1o" tooltip="Open source"/>
    <hyperlink ref="C8" r:id="rId3" display="https://oj.vnoi.info/" tooltip="Open source"/>
    <hyperlink ref="C9" r:id="rId4" display="https://fileserv.icpc.jp/championship2024/tasks.pdf" tooltip="Open source"/>
    <hyperlink ref="C10" r:id="rId5" display="https://fileserv.icpc.jp/championship2025/problemset.pdf" tooltip="Open source"/>
    <hyperlink ref="C11" r:id="rId6" display="https://apac.icpc.global/assets/championship/2026/problemset.pdf" tooltip="Open source"/>
  </hyperlinks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1" sqref="A1"/>
    </sheetView>
  </sheetViews>
  <sheetFormatPr defaultColWidth="8.88888888888889" defaultRowHeight="13.2" outlineLevelRow="7" outlineLevelCol="3"/>
  <cols>
    <col min="1" max="16384" width="8.88888888888889" style="1"/>
  </cols>
  <sheetData>
    <row r="1" spans="1:4">
      <c r="A1" s="1" t="s">
        <v>785</v>
      </c>
      <c r="B1" s="1" t="s">
        <v>786</v>
      </c>
      <c r="C1" s="1" t="s">
        <v>787</v>
      </c>
      <c r="D1" s="1" t="s">
        <v>788</v>
      </c>
    </row>
    <row r="2" spans="1:4">
      <c r="A2" s="1" t="s">
        <v>52</v>
      </c>
      <c r="B2" s="1" t="s">
        <v>52</v>
      </c>
      <c r="C2" s="1" t="s">
        <v>789</v>
      </c>
      <c r="D2" s="1" t="s">
        <v>662</v>
      </c>
    </row>
    <row r="3" spans="1:4">
      <c r="A3" s="1" t="s">
        <v>790</v>
      </c>
      <c r="B3" s="1" t="s">
        <v>791</v>
      </c>
      <c r="C3" s="1" t="s">
        <v>792</v>
      </c>
      <c r="D3" s="1" t="s">
        <v>793</v>
      </c>
    </row>
    <row r="4" spans="1:4">
      <c r="A4" s="1" t="s">
        <v>794</v>
      </c>
      <c r="B4" s="1" t="s">
        <v>793</v>
      </c>
      <c r="C4" s="1" t="s">
        <v>795</v>
      </c>
      <c r="D4" s="1" t="s">
        <v>796</v>
      </c>
    </row>
    <row r="5" spans="1:4">
      <c r="A5" s="1" t="s">
        <v>797</v>
      </c>
      <c r="B5" s="1" t="s">
        <v>798</v>
      </c>
      <c r="C5" s="1" t="s">
        <v>799</v>
      </c>
      <c r="D5" s="1" t="s">
        <v>800</v>
      </c>
    </row>
    <row r="6" spans="1:4">
      <c r="A6" s="1" t="s">
        <v>752</v>
      </c>
      <c r="B6" s="1" t="s">
        <v>800</v>
      </c>
      <c r="C6" s="1" t="s">
        <v>801</v>
      </c>
    </row>
    <row r="7" spans="1:4">
      <c r="A7" s="1" t="s">
        <v>802</v>
      </c>
      <c r="C7" s="1" t="s">
        <v>803</v>
      </c>
    </row>
    <row r="8" spans="1:4">
      <c r="A8" s="1" t="s">
        <v>252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Dashboard</vt:lpstr>
      <vt:lpstr>Weekly Plan</vt:lpstr>
      <vt:lpstr>Task Bank</vt:lpstr>
      <vt:lpstr>Topic Gates</vt:lpstr>
      <vt:lpstr>Virtual Log</vt:lpstr>
      <vt:lpstr>Weekly Rhythm</vt:lpstr>
      <vt:lpstr>Sources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2026-06-21T09:33:00Z</dcterms:created>
  <dcterms:modified xsi:type="dcterms:W3CDTF">2026-06-21T09:34:23Z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19EE9AB07356490E96D4E622938A675D_11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1</vt:i4>
  </property>
</Properties>
</file>